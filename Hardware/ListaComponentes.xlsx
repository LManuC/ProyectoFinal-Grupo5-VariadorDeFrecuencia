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User\Desktop\ProyectoFinal-Grupo5-VariadorDeFrecuencia\Hardware\"/>
    </mc:Choice>
  </mc:AlternateContent>
  <xr:revisionPtr revIDLastSave="0" documentId="13_ncr:1_{496060D8-8CB3-4A9B-A7C0-E8461BE9A0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tal" sheetId="1" r:id="rId1"/>
    <sheet name="Conversor" sheetId="2" r:id="rId2"/>
    <sheet name="Variador" sheetId="3" r:id="rId3"/>
    <sheet name="ESP+STM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5" i="1" l="1"/>
  <c r="H9" i="1"/>
  <c r="H10" i="1"/>
  <c r="H11" i="1"/>
  <c r="H12" i="1"/>
  <c r="H73" i="1"/>
  <c r="H6" i="1"/>
  <c r="H8" i="1"/>
  <c r="H75" i="1"/>
  <c r="H74" i="1"/>
  <c r="H22" i="1"/>
  <c r="H21" i="1"/>
  <c r="H20" i="1"/>
  <c r="H53" i="1"/>
  <c r="H47" i="1"/>
  <c r="H58" i="1"/>
  <c r="H40" i="1"/>
  <c r="H44" i="1"/>
  <c r="H77" i="1"/>
  <c r="H19" i="1"/>
  <c r="H72" i="1"/>
  <c r="H62" i="1"/>
  <c r="H4" i="1"/>
  <c r="H3" i="1"/>
  <c r="H55" i="1"/>
  <c r="H7" i="1"/>
  <c r="H71" i="1"/>
  <c r="H70" i="1"/>
  <c r="H27" i="1"/>
  <c r="H26" i="1"/>
  <c r="H69" i="1"/>
  <c r="H16" i="1"/>
  <c r="H60" i="1"/>
  <c r="H17" i="1"/>
  <c r="H15" i="1"/>
  <c r="H18" i="1"/>
  <c r="H67" i="1"/>
  <c r="H66" i="1"/>
  <c r="H14" i="1"/>
  <c r="H68" i="1"/>
  <c r="H65" i="1"/>
  <c r="H64" i="1"/>
  <c r="H63" i="1"/>
  <c r="H13" i="1"/>
  <c r="H2" i="1"/>
  <c r="H81" i="1"/>
  <c r="H39" i="1"/>
  <c r="H48" i="1"/>
  <c r="H57" i="1"/>
  <c r="H35" i="1"/>
  <c r="H38" i="1"/>
  <c r="H41" i="1"/>
  <c r="H59" i="1"/>
  <c r="H32" i="1"/>
  <c r="H33" i="1"/>
  <c r="H29" i="1"/>
  <c r="H31" i="1"/>
  <c r="H25" i="1"/>
  <c r="H34" i="1"/>
  <c r="H54" i="1"/>
  <c r="H5" i="1"/>
  <c r="H49" i="1"/>
  <c r="H43" i="1"/>
  <c r="H42" i="1"/>
  <c r="H46" i="1"/>
  <c r="H56" i="1"/>
  <c r="H30" i="1"/>
  <c r="H28" i="1"/>
  <c r="H24" i="1"/>
  <c r="H76" i="1"/>
  <c r="H37" i="1"/>
  <c r="H36" i="1"/>
  <c r="H80" i="1"/>
  <c r="H23" i="1"/>
  <c r="H52" i="1"/>
  <c r="H51" i="1"/>
  <c r="H50" i="1"/>
  <c r="H61" i="1"/>
  <c r="H79" i="1"/>
  <c r="H78" i="1"/>
</calcChain>
</file>

<file path=xl/sharedStrings.xml><?xml version="1.0" encoding="utf-8"?>
<sst xmlns="http://schemas.openxmlformats.org/spreadsheetml/2006/main" count="405" uniqueCount="274">
  <si>
    <t>Componente</t>
  </si>
  <si>
    <t>SS8550S</t>
  </si>
  <si>
    <t>SS8050S</t>
  </si>
  <si>
    <t>Trans PNP</t>
  </si>
  <si>
    <t>Trans NPN</t>
  </si>
  <si>
    <t>Denominacion EasyEDA</t>
  </si>
  <si>
    <t>MMSS8050-L-TP</t>
  </si>
  <si>
    <t>Denominacion Mouser</t>
  </si>
  <si>
    <t>Precio LCSC</t>
  </si>
  <si>
    <t>Precio Mouser</t>
  </si>
  <si>
    <t>Precio minimo</t>
  </si>
  <si>
    <t>MMSS8550-H-TP</t>
  </si>
  <si>
    <t>Porta Fusible</t>
  </si>
  <si>
    <t>XF-509P</t>
  </si>
  <si>
    <t>Led Green</t>
  </si>
  <si>
    <t>603 x 1.6x0.8mm</t>
  </si>
  <si>
    <t>APT1608SURC</t>
  </si>
  <si>
    <t>Led Red</t>
  </si>
  <si>
    <t>APT1608CGCK</t>
  </si>
  <si>
    <t>Led Yellow</t>
  </si>
  <si>
    <t>APT1608SYC</t>
  </si>
  <si>
    <t>XL-1608SURC-06</t>
  </si>
  <si>
    <t>XL-1608UYC-06</t>
  </si>
  <si>
    <t>XL-1608UGC-04</t>
  </si>
  <si>
    <t>604 x 1.6x0.8mm</t>
  </si>
  <si>
    <t>605 x 1.6x0.8mm</t>
  </si>
  <si>
    <t>Tipo</t>
  </si>
  <si>
    <t>Transistor</t>
  </si>
  <si>
    <t>Led</t>
  </si>
  <si>
    <t>Conector</t>
  </si>
  <si>
    <t>XT90</t>
  </si>
  <si>
    <t>XT90PW-M.G.Y</t>
  </si>
  <si>
    <t>IRFP4110</t>
  </si>
  <si>
    <t>Marca</t>
  </si>
  <si>
    <t>IRFB4110PBF</t>
  </si>
  <si>
    <t>TO220</t>
  </si>
  <si>
    <t>Q</t>
  </si>
  <si>
    <t>MUR860CT</t>
  </si>
  <si>
    <t>MUR860</t>
  </si>
  <si>
    <t>Ruilon</t>
  </si>
  <si>
    <t>Yangzhou</t>
  </si>
  <si>
    <t>MUR880EG</t>
  </si>
  <si>
    <t>onsemi</t>
  </si>
  <si>
    <t>MURH860CTG</t>
  </si>
  <si>
    <t>ACS712ELCTR-05B-T</t>
  </si>
  <si>
    <t>Allegro</t>
  </si>
  <si>
    <t>Wire-Board</t>
  </si>
  <si>
    <t>CH5.08-2A</t>
  </si>
  <si>
    <t>Boomele</t>
  </si>
  <si>
    <t>ZX-XH2.54-4PZZ</t>
  </si>
  <si>
    <t>Megastar</t>
  </si>
  <si>
    <t>2P 5.08mm</t>
  </si>
  <si>
    <t>ZX-XH2.54-2PZZ</t>
  </si>
  <si>
    <t>Diodo</t>
  </si>
  <si>
    <t>Sensor Hall</t>
  </si>
  <si>
    <t>Fusible</t>
  </si>
  <si>
    <t>Wuxi</t>
  </si>
  <si>
    <t>Opto</t>
  </si>
  <si>
    <t>PC817X1NSZ1B</t>
  </si>
  <si>
    <t>PC817C</t>
  </si>
  <si>
    <t>Sharp</t>
  </si>
  <si>
    <t>BZV55C3V3</t>
  </si>
  <si>
    <t>Zener</t>
  </si>
  <si>
    <t>LGE</t>
  </si>
  <si>
    <t>Taiwan</t>
  </si>
  <si>
    <t>BZV55C3V3 L0G</t>
  </si>
  <si>
    <t>TL431</t>
  </si>
  <si>
    <t>GuangDong</t>
  </si>
  <si>
    <t>STM</t>
  </si>
  <si>
    <t>B1205S-2WR2</t>
  </si>
  <si>
    <t>YLPTEC</t>
  </si>
  <si>
    <t>Wurth Elektronik</t>
  </si>
  <si>
    <t>B1212S-2WR3</t>
  </si>
  <si>
    <t>DEXU</t>
  </si>
  <si>
    <t>TRACO Power</t>
  </si>
  <si>
    <t>TBA 2-1212</t>
  </si>
  <si>
    <t>AMS1117-3.3</t>
  </si>
  <si>
    <t>UMW</t>
  </si>
  <si>
    <t>TLV1117LV33DCYR</t>
  </si>
  <si>
    <t>Texas Instruments</t>
  </si>
  <si>
    <t>LDO</t>
  </si>
  <si>
    <t>Boton</t>
  </si>
  <si>
    <t>TS-1187A-B-A-B</t>
  </si>
  <si>
    <t>Panasonic</t>
  </si>
  <si>
    <t>EVQ-PLWA15</t>
  </si>
  <si>
    <t>XKB</t>
  </si>
  <si>
    <t>STM32F103C8T6</t>
  </si>
  <si>
    <t>2.54-2*5P</t>
  </si>
  <si>
    <t xml:space="preserve">IDC </t>
  </si>
  <si>
    <t>Header 2x5P</t>
  </si>
  <si>
    <t>Three Piece 2x5P</t>
  </si>
  <si>
    <t>CH5.08-2Y</t>
  </si>
  <si>
    <t>Female</t>
  </si>
  <si>
    <t>ZX-XH2.54-2PJK</t>
  </si>
  <si>
    <t>ZX-XH2.54-4PJK</t>
  </si>
  <si>
    <t>Male 4P 2.54mm</t>
  </si>
  <si>
    <t>ZX-XH2.54-5PJK</t>
  </si>
  <si>
    <t>ZX-HA2.54-5PZZ</t>
  </si>
  <si>
    <t>Oscilador</t>
  </si>
  <si>
    <t>BSD5C031V</t>
  </si>
  <si>
    <t>Born</t>
  </si>
  <si>
    <t>ESD</t>
  </si>
  <si>
    <t>Supresor trans.</t>
  </si>
  <si>
    <t>1N5819WS S4</t>
  </si>
  <si>
    <t>6N135M</t>
  </si>
  <si>
    <t>Mos driver</t>
  </si>
  <si>
    <t>jsmsemi</t>
  </si>
  <si>
    <t>IR2104STRPBF-JSM</t>
  </si>
  <si>
    <t>MUR260S</t>
  </si>
  <si>
    <t>amsem</t>
  </si>
  <si>
    <t>Toshiba</t>
  </si>
  <si>
    <t>TK8A65D</t>
  </si>
  <si>
    <t>dorabo</t>
  </si>
  <si>
    <t>DBT50G-9.5-3P-BK-P OGC</t>
  </si>
  <si>
    <t>Terminal barrier</t>
  </si>
  <si>
    <t>Resistor</t>
  </si>
  <si>
    <t>10k</t>
  </si>
  <si>
    <t>CC0603KRX7R9BB104</t>
  </si>
  <si>
    <t>yageo</t>
  </si>
  <si>
    <t>Capacitor</t>
  </si>
  <si>
    <t>100nF</t>
  </si>
  <si>
    <t>RC0603FR-0710KL</t>
  </si>
  <si>
    <t>RC0603FR-071KL</t>
  </si>
  <si>
    <t>1k</t>
  </si>
  <si>
    <t>0ohm</t>
  </si>
  <si>
    <t>RC0603JR-070RL</t>
  </si>
  <si>
    <t>1.2k</t>
  </si>
  <si>
    <t>RC0603FR-071K2L</t>
  </si>
  <si>
    <t>CC0603KRX7R9BB103</t>
  </si>
  <si>
    <t>10nF</t>
  </si>
  <si>
    <t>WJ500V-5.08-3P</t>
  </si>
  <si>
    <t>Ningbo</t>
  </si>
  <si>
    <t>Bornera 3p</t>
  </si>
  <si>
    <t>WJ500V-5.08-2P</t>
  </si>
  <si>
    <t>Bornera 2p</t>
  </si>
  <si>
    <t>Mur860</t>
  </si>
  <si>
    <t>Mur860ct</t>
  </si>
  <si>
    <t>acs712</t>
  </si>
  <si>
    <t>ss8550</t>
  </si>
  <si>
    <t>ss8050</t>
  </si>
  <si>
    <t>pc817</t>
  </si>
  <si>
    <t>bzv55c3v3</t>
  </si>
  <si>
    <t>6n135</t>
  </si>
  <si>
    <t>ir2104</t>
  </si>
  <si>
    <t>mur260</t>
  </si>
  <si>
    <t>tk8a65</t>
  </si>
  <si>
    <t>ams1117</t>
  </si>
  <si>
    <t>RC0805JR-070RL</t>
  </si>
  <si>
    <t>RC1206FR-070RL</t>
  </si>
  <si>
    <t>electrolitico</t>
  </si>
  <si>
    <t>10u</t>
  </si>
  <si>
    <t>RVT1V100M0405</t>
  </si>
  <si>
    <t>roqanc</t>
  </si>
  <si>
    <t>ESP32-WROOM-32E-N16</t>
  </si>
  <si>
    <t>espressif</t>
  </si>
  <si>
    <t>22pF</t>
  </si>
  <si>
    <t>CC0603FRNPO9BN220</t>
  </si>
  <si>
    <t>CC0603FRNPO9BN120</t>
  </si>
  <si>
    <t>12pF</t>
  </si>
  <si>
    <t>Oscilador 32.768Khz</t>
  </si>
  <si>
    <t>Seiko</t>
  </si>
  <si>
    <t>X49SM8MSD2SC</t>
  </si>
  <si>
    <t>YXC</t>
  </si>
  <si>
    <t>20pF</t>
  </si>
  <si>
    <t>CC0603FRNPO9BN200</t>
  </si>
  <si>
    <t>TMB12A03</t>
  </si>
  <si>
    <t>Buzzer</t>
  </si>
  <si>
    <t>2.3Khz</t>
  </si>
  <si>
    <t>Jiangsu</t>
  </si>
  <si>
    <t>Insertos</t>
  </si>
  <si>
    <t>Insertos roscados</t>
  </si>
  <si>
    <t>m4*8*6</t>
  </si>
  <si>
    <t>zhongyi</t>
  </si>
  <si>
    <t>RC0603FR-0710RL</t>
  </si>
  <si>
    <t>10 Ohm</t>
  </si>
  <si>
    <t>CH5.08-3A</t>
  </si>
  <si>
    <t>CH5.08-3Y</t>
  </si>
  <si>
    <t>3P 5.08mm</t>
  </si>
  <si>
    <t>Potenciometro</t>
  </si>
  <si>
    <t>VGF39NCHXT-B502</t>
  </si>
  <si>
    <t>HDK</t>
  </si>
  <si>
    <t>5K - smd</t>
  </si>
  <si>
    <t>RC0603FR-07680RL</t>
  </si>
  <si>
    <t>680 Ohm</t>
  </si>
  <si>
    <t>4.7K</t>
  </si>
  <si>
    <t>RC0603FR-074K7L</t>
  </si>
  <si>
    <t>Lo necesito??</t>
  </si>
  <si>
    <t>RC0603FR-073K9L</t>
  </si>
  <si>
    <t>3.9k</t>
  </si>
  <si>
    <t>22u</t>
  </si>
  <si>
    <t>RVT1C220M0405</t>
  </si>
  <si>
    <t>TestPoint</t>
  </si>
  <si>
    <t>RH-5000</t>
  </si>
  <si>
    <t>ronghe</t>
  </si>
  <si>
    <t>Placa</t>
  </si>
  <si>
    <t>Inversor</t>
  </si>
  <si>
    <t>Inversor y conversor</t>
  </si>
  <si>
    <t>Conversor</t>
  </si>
  <si>
    <t>Conversor, inversor, micro</t>
  </si>
  <si>
    <t>Micro</t>
  </si>
  <si>
    <t>0287040.PXCN</t>
  </si>
  <si>
    <t>40Amp</t>
  </si>
  <si>
    <t>Paquete / Caracteristica</t>
  </si>
  <si>
    <t>Uso</t>
  </si>
  <si>
    <t>Complemento IR2104</t>
  </si>
  <si>
    <t>Excluido</t>
  </si>
  <si>
    <t>Q Necesaria</t>
  </si>
  <si>
    <t>Inv-Intefaz</t>
  </si>
  <si>
    <t>Micro-Inv</t>
  </si>
  <si>
    <t>Male 2P 2.54mm</t>
  </si>
  <si>
    <t>Male 5P 2.54mm</t>
  </si>
  <si>
    <t>6N135S</t>
  </si>
  <si>
    <t>6n135s</t>
  </si>
  <si>
    <t>Slkor</t>
  </si>
  <si>
    <t>Remplazado</t>
  </si>
  <si>
    <t>Blade fuse holder</t>
  </si>
  <si>
    <t>Conv-Inv</t>
  </si>
  <si>
    <t>Comentarios</t>
  </si>
  <si>
    <t>Inter-Conv, Inter-Inv, Inter-Micro, Inter-Cooler</t>
  </si>
  <si>
    <t>Cnv-Micro</t>
  </si>
  <si>
    <t>Micro-Programador, HMI-Program</t>
  </si>
  <si>
    <t>IRFB4110(UMW)</t>
  </si>
  <si>
    <t>Integrados</t>
  </si>
  <si>
    <t>Zener program</t>
  </si>
  <si>
    <t>Controlador</t>
  </si>
  <si>
    <t>TL494</t>
  </si>
  <si>
    <t>JSMSEMI TL494</t>
  </si>
  <si>
    <t>JSMSEMI</t>
  </si>
  <si>
    <t>b1205s-2wr2</t>
  </si>
  <si>
    <t>b1212s-2wr3</t>
  </si>
  <si>
    <t>Fuente aislada</t>
  </si>
  <si>
    <t>Microcontrolador</t>
  </si>
  <si>
    <t>ESP32</t>
  </si>
  <si>
    <t>STM32</t>
  </si>
  <si>
    <t>Osc 32.768Khz</t>
  </si>
  <si>
    <t>Osc 8Mhz</t>
  </si>
  <si>
    <t>Three terminals</t>
  </si>
  <si>
    <t>Bornera</t>
  </si>
  <si>
    <t>Terminal block</t>
  </si>
  <si>
    <t>Excluida</t>
  </si>
  <si>
    <t xml:space="preserve">Led </t>
  </si>
  <si>
    <t>Rectangular verde</t>
  </si>
  <si>
    <t>XL-257SYGD-L</t>
  </si>
  <si>
    <t>Green 2x5x7mm Square</t>
  </si>
  <si>
    <t>Inter</t>
  </si>
  <si>
    <t>cx</t>
  </si>
  <si>
    <t>NCC EKMQ401VSN101MP25S</t>
  </si>
  <si>
    <t>KM478M025K25RR0VH2FP0</t>
  </si>
  <si>
    <t>ncc</t>
  </si>
  <si>
    <t>100uF - 400V</t>
  </si>
  <si>
    <t>4700uF - 25V</t>
  </si>
  <si>
    <t>CapXon HP221M400N310A</t>
  </si>
  <si>
    <t>CapXon </t>
  </si>
  <si>
    <t>220uF - 400V</t>
  </si>
  <si>
    <t>Ring Terminal</t>
  </si>
  <si>
    <t>JIDC RNB5.5-6-90D</t>
  </si>
  <si>
    <t>6.5mm internal</t>
  </si>
  <si>
    <t>jidc</t>
  </si>
  <si>
    <t>RNB5.5-6</t>
  </si>
  <si>
    <t>RNB5.5-4S</t>
  </si>
  <si>
    <t>4.3mm internal</t>
  </si>
  <si>
    <t>Cable - Bornes de entrada</t>
  </si>
  <si>
    <t>Conexión fuente 12V - Cable y para Borne entrada - PCB</t>
  </si>
  <si>
    <t>Cable + Terminal</t>
  </si>
  <si>
    <t>2.54-2P DT 200mm 24AWG</t>
  </si>
  <si>
    <t xml:space="preserve">SHOU HAN </t>
  </si>
  <si>
    <t>2.54-6P DT 200mm 24AWG</t>
  </si>
  <si>
    <t>2.54-4P DT 200mm 24AWG</t>
  </si>
  <si>
    <t>2.54-5P DT 200mm 24AWG</t>
  </si>
  <si>
    <t>Faltan los housing terminals</t>
  </si>
  <si>
    <t>Marca2</t>
  </si>
  <si>
    <t>Q3</t>
  </si>
  <si>
    <t>Faltan las de la placa del micro</t>
  </si>
  <si>
    <t>ACA faltan los pines y los cables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</si>
</sst>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 tint="0.59999389629810485"/>
      </patternFill>
    </fill>
  </fills>
  <borders count="2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 wrapText="1"/>
    </xf>
    <xf numFmtId="164" fontId="0" fillId="0" borderId="0" xfId="0" applyNumberFormat="1"/>
    <xf numFmtId="1" fontId="0" fillId="0" borderId="0" xfId="0" applyNumberFormat="1" applyAlignment="1">
      <alignment horizontal="center" vertical="center" wrapText="1"/>
    </xf>
    <xf numFmtId="1" fontId="0" fillId="0" borderId="0" xfId="0" applyNumberFormat="1" applyAlignment="1">
      <alignment horizontal="center"/>
    </xf>
    <xf numFmtId="0" fontId="1" fillId="0" borderId="0" xfId="1" applyAlignment="1">
      <alignment horizontal="center" vertical="center" wrapText="1"/>
    </xf>
    <xf numFmtId="0" fontId="0" fillId="0" borderId="0" xfId="1" applyNumberFormat="1" applyFont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1" fillId="3" borderId="0" xfId="1" applyFill="1" applyAlignment="1">
      <alignment horizontal="center" vertical="center" wrapText="1"/>
    </xf>
    <xf numFmtId="0" fontId="0" fillId="3" borderId="0" xfId="1" applyNumberFormat="1" applyFont="1" applyFill="1" applyAlignment="1">
      <alignment horizontal="center" vertical="center" wrapText="1"/>
    </xf>
    <xf numFmtId="164" fontId="0" fillId="3" borderId="0" xfId="0" applyNumberFormat="1" applyFill="1" applyAlignment="1">
      <alignment horizontal="center" vertical="center" wrapText="1"/>
    </xf>
    <xf numFmtId="0" fontId="0" fillId="4" borderId="0" xfId="0" applyFill="1"/>
    <xf numFmtId="0" fontId="0" fillId="2" borderId="0" xfId="0" applyFill="1" applyAlignment="1">
      <alignment horizontal="center" vertical="center" wrapText="1"/>
    </xf>
    <xf numFmtId="0" fontId="1" fillId="2" borderId="0" xfId="1" applyFill="1" applyAlignment="1">
      <alignment horizontal="center" vertical="center" wrapText="1"/>
    </xf>
    <xf numFmtId="0" fontId="0" fillId="2" borderId="0" xfId="1" applyNumberFormat="1" applyFont="1" applyFill="1" applyAlignment="1">
      <alignment horizontal="center" vertical="center" wrapText="1"/>
    </xf>
    <xf numFmtId="164" fontId="0" fillId="2" borderId="0" xfId="0" applyNumberForma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1" applyAlignment="1">
      <alignment horizontal="center" vertical="center"/>
    </xf>
    <xf numFmtId="0" fontId="3" fillId="0" borderId="0" xfId="1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0" fillId="3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18">
    <dxf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64" formatCode="0.000"/>
      <alignment horizontal="center" vertical="center" textRotation="0" wrapText="1" indent="0" justifyLastLine="0" shrinkToFit="0" readingOrder="0"/>
    </dxf>
    <dxf>
      <numFmt numFmtId="164" formatCode="0.000"/>
      <alignment horizontal="center" vertical="center" textRotation="0" wrapText="1" indent="0" justifyLastLine="0" shrinkToFit="0" readingOrder="0"/>
    </dxf>
    <dxf>
      <numFmt numFmtId="164" formatCode="0.000"/>
      <alignment horizontal="center" vertical="center" textRotation="0" wrapText="1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u val="none"/>
        <color theme="1"/>
      </font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07CBF7-0ABC-4470-9385-62CFF31D34F0}" name="Table1" displayName="Table1" ref="A1:P81" insertRowShift="1" totalsRowShown="0" headerRowDxfId="1" dataDxfId="0">
  <autoFilter ref="A1:P81" xr:uid="{4F07CBF7-0ABC-4470-9385-62CFF31D34F0}"/>
  <sortState xmlns:xlrd2="http://schemas.microsoft.com/office/spreadsheetml/2017/richdata2" ref="A2:P81">
    <sortCondition ref="A1:A81"/>
  </sortState>
  <tableColumns count="16">
    <tableColumn id="1" xr3:uid="{0ACE4B69-92C3-46AB-80BC-523C369836A1}" name="Tipo" dataDxfId="17"/>
    <tableColumn id="2" xr3:uid="{4C5891E5-3D42-4FF3-9D77-C6580F99E2A1}" name="Componente" dataDxfId="16"/>
    <tableColumn id="3" xr3:uid="{105E55C3-831B-4EEE-855F-07865A810639}" name="Paquete / Caracteristica" dataDxfId="15"/>
    <tableColumn id="4" xr3:uid="{5E82E646-8656-48AC-9907-DC6BBC3D5EC7}" name="Denominacion EasyEDA" dataDxfId="14" dataCellStyle="Hyperlink"/>
    <tableColumn id="5" xr3:uid="{EFE1818A-BC18-410E-91A6-CBF7A5B46F2F}" name="Marca" dataDxfId="13" dataCellStyle="Hyperlink"/>
    <tableColumn id="6" xr3:uid="{E2824F86-86D8-4370-A065-A08FC8E9C012}" name="Precio LCSC" dataDxfId="12" dataCellStyle="Hyperlink"/>
    <tableColumn id="7" xr3:uid="{E93C4BB2-9DAB-4E75-8C6A-E60FA9F70573}" name="Q" dataDxfId="11"/>
    <tableColumn id="8" xr3:uid="{EE5404AA-B8E8-4F02-9694-C96DEB3057AD}" name="Precio minimo" dataDxfId="10">
      <calculatedColumnFormula>+F2*G2</calculatedColumnFormula>
    </tableColumn>
    <tableColumn id="9" xr3:uid="{25F559AD-544F-4102-AF6D-3C8CE074EB61}" name="Q Necesaria" dataDxfId="9"/>
    <tableColumn id="10" xr3:uid="{DF1DD7F0-9073-426C-99CA-EC4F394AD066}" name="Placa" dataDxfId="8"/>
    <tableColumn id="11" xr3:uid="{C15B6373-4F55-45CF-B9D5-38A9373F7591}" name="Uso" dataDxfId="7"/>
    <tableColumn id="12" xr3:uid="{0998F5A9-EA68-48DC-AA50-94FF63E178D0}" name="Comentarios" dataDxfId="6"/>
    <tableColumn id="13" xr3:uid="{32449E9E-0074-4B45-A7E7-D4B0615F7109}" name="Denominacion Mouser" dataDxfId="5" dataCellStyle="Hyperlink"/>
    <tableColumn id="14" xr3:uid="{AF3F12E9-EE1D-47E0-8C31-9F910C70EFDC}" name="Marca2" dataDxfId="4" dataCellStyle="Hyperlink"/>
    <tableColumn id="15" xr3:uid="{78DBA2DE-2FAA-4A52-BD3F-B976020AFF07}" name="Precio Mouser" dataDxfId="3"/>
    <tableColumn id="16" xr3:uid="{A60678A0-9BB1-44B6-8A6B-C1BCE514852C}" name="Q3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ar.mouser.com/ProductDetail/Taiwan-Semiconductor/BZV55C3V3-L0G?qs=KwaGCOX4wIbLKgQCCPXAFw%3D%3D" TargetMode="External"/><Relationship Id="rId21" Type="http://schemas.openxmlformats.org/officeDocument/2006/relationships/hyperlink" Target="https://ar.mouser.com/ProductDetail/Allegro-MicroSystems/ACS712ELCTR-05B-T?qs=pUKx8fyJudDs65Rkshv5ug%3D%3D" TargetMode="External"/><Relationship Id="rId42" Type="http://schemas.openxmlformats.org/officeDocument/2006/relationships/hyperlink" Target="https://lcsc.com/product-detail/IDC-Connectors_BOOMELE-Boom-Precision-Elec-2-54-2-5P_C5665.html" TargetMode="External"/><Relationship Id="rId47" Type="http://schemas.openxmlformats.org/officeDocument/2006/relationships/hyperlink" Target="https://lcsc.com/product-detail/Housings-Wire-To-Board-Wire-To-Wire_Megastar-ZX-XH2-54-4PJK_C7462724.html" TargetMode="External"/><Relationship Id="rId63" Type="http://schemas.openxmlformats.org/officeDocument/2006/relationships/hyperlink" Target="https://lcsc.com/product-detail/Chip-Resistor-Surface-Mount_YAGEO-RC0805JR-070RL_C96345.html" TargetMode="External"/><Relationship Id="rId68" Type="http://schemas.openxmlformats.org/officeDocument/2006/relationships/hyperlink" Target="https://lcsc.com/product-detail/Crystals_Seiko-Epson-Q13FC13500004_C32346.html" TargetMode="External"/><Relationship Id="rId84" Type="http://schemas.openxmlformats.org/officeDocument/2006/relationships/hyperlink" Target="https://lcsc.com/product-detail/Aluminum-Electrolytic-Capacitors-SMD_ROQANG-RVT1C220M0405_C72502.html" TargetMode="External"/><Relationship Id="rId89" Type="http://schemas.openxmlformats.org/officeDocument/2006/relationships/hyperlink" Target="https://lcsc.com/product-detail/LED-Indication-Discrete_XINGLIGHT-XL-1608UGC-04_C965804.html?s_z=n_XL-1608UGC-04" TargetMode="External"/><Relationship Id="rId16" Type="http://schemas.openxmlformats.org/officeDocument/2006/relationships/hyperlink" Target="https://ar.mouser.com/ProductDetail/onsemi/MUR880EG?qs=Gev%252BmEvV0iZuzgGNI9B7nA%3D%3D" TargetMode="External"/><Relationship Id="rId11" Type="http://schemas.openxmlformats.org/officeDocument/2006/relationships/hyperlink" Target="https://lcsc.com/product-detail/plug_Changzhou-Amass-Elec-XT90PW-M-G-Y_C3040689.html" TargetMode="External"/><Relationship Id="rId32" Type="http://schemas.openxmlformats.org/officeDocument/2006/relationships/hyperlink" Target="https://ar.mouser.com/manufacturer/traco-power/" TargetMode="External"/><Relationship Id="rId37" Type="http://schemas.openxmlformats.org/officeDocument/2006/relationships/hyperlink" Target="https://lcsc.com/product-detail/Tactile-Switches_XKB-Connection-TS-1187A-B-A-B_C318884.html" TargetMode="External"/><Relationship Id="rId53" Type="http://schemas.openxmlformats.org/officeDocument/2006/relationships/hyperlink" Target="https://lcsc.com/product-detail/Fast-Recovery-High-Efficiency-Diodes_amsem-MUR260S_C18336929.html" TargetMode="External"/><Relationship Id="rId58" Type="http://schemas.openxmlformats.org/officeDocument/2006/relationships/hyperlink" Target="https://lcsc.com/product-detail/Chip-Resistor-Surface-Mount_YAGEO-RC0603FR-0710KL_C98220.html" TargetMode="External"/><Relationship Id="rId74" Type="http://schemas.openxmlformats.org/officeDocument/2006/relationships/hyperlink" Target="https://lcsc.com/product-detail/Housings-Wire-To-Board-Wire-To-Wire_BOOMELE-Boom-Precision-Elec-CH5-08-3Y_C45331.html?s_z=n_CH5.08-3Y" TargetMode="External"/><Relationship Id="rId79" Type="http://schemas.openxmlformats.org/officeDocument/2006/relationships/hyperlink" Target="https://lcsc.com/product-detail/WiFi-Modules_Espressif-Systems-ESP32-WROOM-32E-N16_C701343.html" TargetMode="External"/><Relationship Id="rId102" Type="http://schemas.openxmlformats.org/officeDocument/2006/relationships/hyperlink" Target="https://lcsc.com/product-detail/Dupont-wire-terminal-block-wire-electronic-wire_SHOU-HAN-2-54-4P-DT-200mm-24AWG_C5363465.html" TargetMode="External"/><Relationship Id="rId5" Type="http://schemas.openxmlformats.org/officeDocument/2006/relationships/hyperlink" Target="https://lcsc.com/product-detail/Fuseholders_XFCN-XF-509P_C41371872.html" TargetMode="External"/><Relationship Id="rId90" Type="http://schemas.openxmlformats.org/officeDocument/2006/relationships/hyperlink" Target="https://lcsc.com/product-detail/MOSFETs_UMW-Youtai-Semiconductor-Co-Ltd-IRFB4110-UMW_C18209200.html?s_z=n_IRFB4110" TargetMode="External"/><Relationship Id="rId95" Type="http://schemas.openxmlformats.org/officeDocument/2006/relationships/hyperlink" Target="https://lcsc.com/product-detail/Horn-Type-Electrolytic-Capacitors_CapXon-HP221M400N310A_C531139.html" TargetMode="External"/><Relationship Id="rId22" Type="http://schemas.openxmlformats.org/officeDocument/2006/relationships/hyperlink" Target="https://lcsc.com/eda_search?q=C7429632&amp;&amp;type=1" TargetMode="External"/><Relationship Id="rId27" Type="http://schemas.openxmlformats.org/officeDocument/2006/relationships/hyperlink" Target="https://lcsc.com/product-detail/Voltage-Reference_Guangdong-Hottech-TL431_C181104.html" TargetMode="External"/><Relationship Id="rId43" Type="http://schemas.openxmlformats.org/officeDocument/2006/relationships/hyperlink" Target="https://lcsc.com/product-detail/IDC-Connectors_BOOMELE-Boom-Precision-Elec-2-54-2-5P_C8373.html" TargetMode="External"/><Relationship Id="rId48" Type="http://schemas.openxmlformats.org/officeDocument/2006/relationships/hyperlink" Target="https://lcsc.com/product-detail/Housings-Wire-To-Board-Wire-To-Wire_Megastar-ZX-XH2-54-5PJK_C7462725.html" TargetMode="External"/><Relationship Id="rId64" Type="http://schemas.openxmlformats.org/officeDocument/2006/relationships/hyperlink" Target="https://lcsc.com/product-detail/Chip-Resistor-Surface-Mount_YAGEO-RC1206FR-070RL_C137394.html" TargetMode="External"/><Relationship Id="rId69" Type="http://schemas.openxmlformats.org/officeDocument/2006/relationships/hyperlink" Target="https://lcsc.com/product-detail/Crystals_YXC-Crystal-Oscillators-X49SM8MSD2SC_C12674.html" TargetMode="External"/><Relationship Id="rId80" Type="http://schemas.openxmlformats.org/officeDocument/2006/relationships/hyperlink" Target="https://lcsc.com/product-detail/Screw-Terminal-Blocks_Ningbo-Kangnex-Elec-WJ500V-5-08-2P_C8465.html" TargetMode="External"/><Relationship Id="rId85" Type="http://schemas.openxmlformats.org/officeDocument/2006/relationships/hyperlink" Target="https://lcsc.com/product-detail/Test-Points-Test-Rings_ronghe-RH-5000_C5277086.html" TargetMode="External"/><Relationship Id="rId12" Type="http://schemas.openxmlformats.org/officeDocument/2006/relationships/hyperlink" Target="https://ar.mouser.com/ProductDetail/Infineon-Technologies/IRFB4110PBF?qs=9%252BKlkBgLFf1%2FkPV%252BuAP9EQ%3D%3D" TargetMode="External"/><Relationship Id="rId17" Type="http://schemas.openxmlformats.org/officeDocument/2006/relationships/hyperlink" Target="https://ar.mouser.com/manufacturer/onsemi/" TargetMode="External"/><Relationship Id="rId33" Type="http://schemas.openxmlformats.org/officeDocument/2006/relationships/hyperlink" Target="https://ar.mouser.com/ProductDetail/TRACO-Power/TBA-2-1212?qs=byeeYqUIh0ON8U3yVOJqLg%3D%3D" TargetMode="External"/><Relationship Id="rId38" Type="http://schemas.openxmlformats.org/officeDocument/2006/relationships/hyperlink" Target="https://ar.mouser.com/manufacturer/panasonicec/" TargetMode="External"/><Relationship Id="rId59" Type="http://schemas.openxmlformats.org/officeDocument/2006/relationships/hyperlink" Target="https://lcsc.com/product-detail/Chip-Resistor-Surface-Mount_YAGEO-RC0603FR-071KL_C22548.html" TargetMode="External"/><Relationship Id="rId103" Type="http://schemas.openxmlformats.org/officeDocument/2006/relationships/hyperlink" Target="https://lcsc.com/product-detail/Dupont-wire-terminal-block-wire-electronic-wire_SHOU-HAN-2-54-5P-DT-200mm-24AWG_C5363466.html" TargetMode="External"/><Relationship Id="rId20" Type="http://schemas.openxmlformats.org/officeDocument/2006/relationships/hyperlink" Target="https://lcsc.com/product-detail/Current-Sensors_Allegro-MicroSystems-LLC-ACS712ELCTR-05B-T_C44471.html" TargetMode="External"/><Relationship Id="rId41" Type="http://schemas.openxmlformats.org/officeDocument/2006/relationships/hyperlink" Target="https://ar.mouser.com/ProductDetail/STMicroelectronics/STM32F103C8T6?qs=bhCVus9SdFtq6kqxsU5%2FDA%3D%3D" TargetMode="External"/><Relationship Id="rId54" Type="http://schemas.openxmlformats.org/officeDocument/2006/relationships/hyperlink" Target="https://lcsc.com/product-detail/Transistor-Photovoltaic-Output-Optoisolators_onsemi-6N135M_C194136.html" TargetMode="External"/><Relationship Id="rId62" Type="http://schemas.openxmlformats.org/officeDocument/2006/relationships/hyperlink" Target="https://lcsc.com/product-detail/Multilayer-Ceramic-Capacitors-MLCC-SMD-SMT_YAGEO-CC0603KRX7R9BB103_C100042.html" TargetMode="External"/><Relationship Id="rId70" Type="http://schemas.openxmlformats.org/officeDocument/2006/relationships/hyperlink" Target="https://lcsc.com/product-detail/Multilayer-Ceramic-Capacitors-MLCC-SMD-SMT_YAGEO-CC0603FRNPO9BN200_C326779.html" TargetMode="External"/><Relationship Id="rId75" Type="http://schemas.openxmlformats.org/officeDocument/2006/relationships/hyperlink" Target="https://lcsc.com/product-detail/Chip-Resistor-Surface-Mount_YAGEO-RC0603FR-07680RL_C112310.html?s_z=s_YAGEO" TargetMode="External"/><Relationship Id="rId83" Type="http://schemas.openxmlformats.org/officeDocument/2006/relationships/hyperlink" Target="https://www.lcsc.com/product-detail/Chip-Resistor---Surface-Mount_YAGEO-RC0603FR-073K9L_C114616.html" TargetMode="External"/><Relationship Id="rId88" Type="http://schemas.openxmlformats.org/officeDocument/2006/relationships/hyperlink" Target="https://lcsc.com/brand-detail/11608.html?s_z=n_6n135" TargetMode="External"/><Relationship Id="rId91" Type="http://schemas.openxmlformats.org/officeDocument/2006/relationships/hyperlink" Target="https://lcsc.com/product-detail/DC-DC-Converters_JSMSEMI-TL494_C5356108.html" TargetMode="External"/><Relationship Id="rId96" Type="http://schemas.openxmlformats.org/officeDocument/2006/relationships/hyperlink" Target="https://lcsc.com/brand-detail/810.html" TargetMode="External"/><Relationship Id="rId1" Type="http://schemas.openxmlformats.org/officeDocument/2006/relationships/hyperlink" Target="https://ar.mouser.com/ProductDetail/Micro-Commercial-Components-MCC/MMSS8050-L-TP?qs=FaVZESsvgnebflbaqJWJVQ%3D%3D" TargetMode="External"/><Relationship Id="rId6" Type="http://schemas.openxmlformats.org/officeDocument/2006/relationships/hyperlink" Target="https://ar.mouser.com/ProductDetail/Kingbright/APT1608SURC?qs=sGAEpiMZZMv0DJfhVcWlK8AiAHwfAGPKjtEXvGpM2Z8%3D" TargetMode="External"/><Relationship Id="rId15" Type="http://schemas.openxmlformats.org/officeDocument/2006/relationships/hyperlink" Target="https://lcsc.com/brand-detail/11514.html" TargetMode="External"/><Relationship Id="rId23" Type="http://schemas.openxmlformats.org/officeDocument/2006/relationships/hyperlink" Target="https://ar.mouser.com/ProductDetail/Sharp-Microelectronics/PC817X1NSZ1B?qs=rrS6PyfT74e4O%2FoD5P1nvg%3D%3D" TargetMode="External"/><Relationship Id="rId28" Type="http://schemas.openxmlformats.org/officeDocument/2006/relationships/hyperlink" Target="https://lcsc.com/product-detail/Isolated-Power-Modules_YLPTEC-B1205S-2WR2_C2992386.html" TargetMode="External"/><Relationship Id="rId36" Type="http://schemas.openxmlformats.org/officeDocument/2006/relationships/hyperlink" Target="https://ar.mouser.com/manufacturer/texas-instruments/" TargetMode="External"/><Relationship Id="rId49" Type="http://schemas.openxmlformats.org/officeDocument/2006/relationships/hyperlink" Target="https://lcsc.com/product-detail/Wire-To-Board-Connector_Megastar-ZX-HA2-54-5PZZ_C7429617.html" TargetMode="External"/><Relationship Id="rId57" Type="http://schemas.openxmlformats.org/officeDocument/2006/relationships/hyperlink" Target="https://lcsc.com/product-detail/Multilayer-Ceramic-Capacitors-MLCC-SMD-SMT_YAGEO-CC0603KRX7R9BB104_C14663.html" TargetMode="External"/><Relationship Id="rId106" Type="http://schemas.openxmlformats.org/officeDocument/2006/relationships/table" Target="../tables/table1.xml"/><Relationship Id="rId10" Type="http://schemas.openxmlformats.org/officeDocument/2006/relationships/hyperlink" Target="https://lcsc.com/product-detail/LED-Indication-Discrete_XINGLIGHT-XL-1608SURC-06_C965799.html" TargetMode="External"/><Relationship Id="rId31" Type="http://schemas.openxmlformats.org/officeDocument/2006/relationships/hyperlink" Target="https://lcsc.com/product-detail/Isolated-Power-Modules_DEXU-Electronics-B1212S-2WR3_C3019582.html" TargetMode="External"/><Relationship Id="rId44" Type="http://schemas.openxmlformats.org/officeDocument/2006/relationships/hyperlink" Target="https://lcsc.com/product-detail/Wire-To-Board-Connector_Megastar-ZX-XH2-54-4PZZ_C7429634.html" TargetMode="External"/><Relationship Id="rId52" Type="http://schemas.openxmlformats.org/officeDocument/2006/relationships/hyperlink" Target="https://lcsc.com/product-detail/Gate-Drivers_JSMSEMI-IR2104STRPBF-JSM_C5804631.html" TargetMode="External"/><Relationship Id="rId60" Type="http://schemas.openxmlformats.org/officeDocument/2006/relationships/hyperlink" Target="https://lcsc.com/product-detail/Chip-Resistor-Surface-Mount_YAGEO-RC0603JR-070RL_C95177.html" TargetMode="External"/><Relationship Id="rId65" Type="http://schemas.openxmlformats.org/officeDocument/2006/relationships/hyperlink" Target="https://www.lcsc.com/product-detail/Aluminum-Electrolytic-Capacitors---SMD_ROQANG-RVT1V100M0405_C72485.html" TargetMode="External"/><Relationship Id="rId73" Type="http://schemas.openxmlformats.org/officeDocument/2006/relationships/hyperlink" Target="https://lcsc.com/product-detail/Wire-To-Board-Connector_BOOMELE-Boom-Precision-Elec-CH5-08-3A_C23514.html" TargetMode="External"/><Relationship Id="rId78" Type="http://schemas.openxmlformats.org/officeDocument/2006/relationships/hyperlink" Target="https://lcsc.com/product-detail/Buzzers_Jiangsu-Huaneng-Elec-TMB12A03_C96222.html" TargetMode="External"/><Relationship Id="rId81" Type="http://schemas.openxmlformats.org/officeDocument/2006/relationships/hyperlink" Target="https://lcsc.com/product-detail/Screw-Terminal-Blocks_Ningbo-Kangnex-Elec-WJ500V-5-08-3P_C72334.html" TargetMode="External"/><Relationship Id="rId86" Type="http://schemas.openxmlformats.org/officeDocument/2006/relationships/hyperlink" Target="https://lcsc.com/product-detail/Automotive-Fuses_Littelfuse-0287040-PXCN_C142687.html" TargetMode="External"/><Relationship Id="rId94" Type="http://schemas.openxmlformats.org/officeDocument/2006/relationships/hyperlink" Target="https://lcsc.com/product-detail/Horn-Type-Electrolytic-Capacitors_NCC-EKMQ401VSN101MP25S_C1586377.html" TargetMode="External"/><Relationship Id="rId99" Type="http://schemas.openxmlformats.org/officeDocument/2006/relationships/hyperlink" Target="https://lcsc.com/product-detail/Dupont-wire-terminal-block-wire-electronic-wire_SHOU-HAN-2-54-2P-DT-200mm-24AWG_C5363463.html" TargetMode="External"/><Relationship Id="rId101" Type="http://schemas.openxmlformats.org/officeDocument/2006/relationships/hyperlink" Target="https://lcsc.com/product-detail/Dupont-wire-terminal-block-wire-electronic-wire_SHOU-HAN-2-54-6P-DT-200mm-24AWG_C5363467.html" TargetMode="External"/><Relationship Id="rId4" Type="http://schemas.openxmlformats.org/officeDocument/2006/relationships/hyperlink" Target="https://ar.mouser.com/ProductDetail/Micro-Commercial-Components-MCC/MMSS8550-H-TP?qs=sGAEpiMZZMvplms98TlKYxWN4uhlXivEZ%252BlGyLjKw34%3D" TargetMode="External"/><Relationship Id="rId9" Type="http://schemas.openxmlformats.org/officeDocument/2006/relationships/hyperlink" Target="https://lcsc.com/product-detail/LED-Indication-Discrete_XINGLIGHT-XL-1608UYC-06_C965802.html" TargetMode="External"/><Relationship Id="rId13" Type="http://schemas.openxmlformats.org/officeDocument/2006/relationships/hyperlink" Target="https://lcsc.com/product-detail/Fast-Recovery-High-Efficiency-Diodes_RUILON-Shenzhen-Ruilongyuan-Elec-MUR860_C2944306.html" TargetMode="External"/><Relationship Id="rId18" Type="http://schemas.openxmlformats.org/officeDocument/2006/relationships/hyperlink" Target="https://ar.mouser.com/ProductDetail/onsemi/MURH860CTG?qs=Gev%252BmEvV0iZw86OhP5%2F%2FEw%3D%3D" TargetMode="External"/><Relationship Id="rId39" Type="http://schemas.openxmlformats.org/officeDocument/2006/relationships/hyperlink" Target="https://ar.mouser.com/ProductDetail/Panasonic/EVQ-PLWA15?qs=WwqriLBepZsSfxlxZfFnlQ%3D%3D" TargetMode="External"/><Relationship Id="rId34" Type="http://schemas.openxmlformats.org/officeDocument/2006/relationships/hyperlink" Target="https://lcsc.com/product-detail/Voltage-Regulators-Linear-Low-Drop-Out-LDO-Regulators_UMW-Youtai-Semiconductor-Co-Ltd-AMS1117-3-3_C347222.html" TargetMode="External"/><Relationship Id="rId50" Type="http://schemas.openxmlformats.org/officeDocument/2006/relationships/hyperlink" Target="https://lcsc.com/product-detail/ESD-and-Surge-Protection-TVS-ESD_BORN-BSD5C031V_C151984.html" TargetMode="External"/><Relationship Id="rId55" Type="http://schemas.openxmlformats.org/officeDocument/2006/relationships/hyperlink" Target="https://lcsc.com/product-detail/MOSFETs_TOSHIBA-TK8A65D-STA4-Q-M-_C2990817.html" TargetMode="External"/><Relationship Id="rId76" Type="http://schemas.openxmlformats.org/officeDocument/2006/relationships/hyperlink" Target="https://lcsc.com/product-detail/Chip-Resistor-Surface-Mount_YAGEO-RC0603FR-074K7L_C99782.html?s_z=s_YAGEO" TargetMode="External"/><Relationship Id="rId97" Type="http://schemas.openxmlformats.org/officeDocument/2006/relationships/hyperlink" Target="https://lcsc.com/product-detail/image/RNB5-5-6-90D_C42428764.html" TargetMode="External"/><Relationship Id="rId104" Type="http://schemas.openxmlformats.org/officeDocument/2006/relationships/hyperlink" Target="https://lcsc.com/product-detail/Through-hole-embedded-round-nuts_ZHONGYI-m4-8-6_C20618342.html" TargetMode="External"/><Relationship Id="rId7" Type="http://schemas.openxmlformats.org/officeDocument/2006/relationships/hyperlink" Target="https://ar.mouser.com/ProductDetail/Kingbright/APT1608CGCK?qs=sGAEpiMZZMv0DJfhVcWlK3Snxywvxwcc2rC3XbaQxlPdDBGXU5buBg%3D%3D" TargetMode="External"/><Relationship Id="rId71" Type="http://schemas.openxmlformats.org/officeDocument/2006/relationships/hyperlink" Target="https://lcsc.com/product-detail/Chip-Resistor-Surface-Mount_YAGEO-RC0603FR-0710RL_C109318.html" TargetMode="External"/><Relationship Id="rId92" Type="http://schemas.openxmlformats.org/officeDocument/2006/relationships/hyperlink" Target="https://lcsc.com/product-detail/LED-Indication-Discrete_XINGLIGHT-XL-257SYGD-L_C5440572.html?s_z=n_led%2520rectangular" TargetMode="External"/><Relationship Id="rId2" Type="http://schemas.openxmlformats.org/officeDocument/2006/relationships/hyperlink" Target="https://lcsc.com/product-detail/Bipolar-BJT_FOSAN-SS8050S_C22395784.html" TargetMode="External"/><Relationship Id="rId29" Type="http://schemas.openxmlformats.org/officeDocument/2006/relationships/hyperlink" Target="https://ar.mouser.com/manufacturer/wurth-elektronik/" TargetMode="External"/><Relationship Id="rId24" Type="http://schemas.openxmlformats.org/officeDocument/2006/relationships/hyperlink" Target="https://lcsc.com/product-detail/Transistor-Photovoltaic-Output-Optoisolators_UMW-Youtai-Semiconductor-Co-Ltd-PC817C_C3008368.html" TargetMode="External"/><Relationship Id="rId40" Type="http://schemas.openxmlformats.org/officeDocument/2006/relationships/hyperlink" Target="https://lcsc.com/product-detail/Microcontrollers-MCU-MPU-SOC_STMicroelectronics-STM32F103C8T6_C8734.html" TargetMode="External"/><Relationship Id="rId45" Type="http://schemas.openxmlformats.org/officeDocument/2006/relationships/hyperlink" Target="https://lcsc.com/product-detail/Housings-Wire-To-Board-Wire-To-Wire_BOOMELE-Boom-Precision-Elec-CH5-08-2Y_C5128300.html" TargetMode="External"/><Relationship Id="rId66" Type="http://schemas.openxmlformats.org/officeDocument/2006/relationships/hyperlink" Target="https://lcsc.com/product-detail/Multilayer-Ceramic-Capacitors-MLCC-SMD-SMT_YAGEO-CC0603FRNPO9BN120_C519482.html" TargetMode="External"/><Relationship Id="rId87" Type="http://schemas.openxmlformats.org/officeDocument/2006/relationships/hyperlink" Target="https://lcsc.com/product-detail/Logic-Output-Optoisolators_Slkor-SLKORMICRO-Elec-6N135S_C2918949.html?s_z=n_6n135" TargetMode="External"/><Relationship Id="rId61" Type="http://schemas.openxmlformats.org/officeDocument/2006/relationships/hyperlink" Target="https://lcsc.com/product-detail/Chip-Resistor-Surface-Mount_YAGEO-RC0603FR-071K2L_C114605.html" TargetMode="External"/><Relationship Id="rId82" Type="http://schemas.openxmlformats.org/officeDocument/2006/relationships/hyperlink" Target="https://www.lcsc.com/product-detail/Chip-Resistor---Surface-Mount_YAGEO-RC0603FR-071K2L_C114605.html" TargetMode="External"/><Relationship Id="rId19" Type="http://schemas.openxmlformats.org/officeDocument/2006/relationships/hyperlink" Target="https://ar.mouser.com/manufacturer/onsemi/" TargetMode="External"/><Relationship Id="rId14" Type="http://schemas.openxmlformats.org/officeDocument/2006/relationships/hyperlink" Target="https://lcsc.com/product-detail/Fast-Recovery-High-Efficiency-Diodes_Yangzhou-Yangjie-Elec-Tech-MUR860CT_C700469.html" TargetMode="External"/><Relationship Id="rId30" Type="http://schemas.openxmlformats.org/officeDocument/2006/relationships/hyperlink" Target="https://ar.mouser.com/ProductDetail/Wurth-Elektronik/1779405241?qs=amGC7iS6iy9JBIrkcvaziA%3D%3D" TargetMode="External"/><Relationship Id="rId35" Type="http://schemas.openxmlformats.org/officeDocument/2006/relationships/hyperlink" Target="https://ar.mouser.com/ProductDetail/Texas-Instruments/TLV1117LV33DCYR?qs=sGAEpiMZZMuLLNXTG1MZaoIPTEwWm4XyE56NiNyAHwM%3D" TargetMode="External"/><Relationship Id="rId56" Type="http://schemas.openxmlformats.org/officeDocument/2006/relationships/hyperlink" Target="https://lcsc.com/product-detail/Barrier-Terminal-Blocks_DORABO-DBT50G-9-5-3P-BK-P-OGC_C395959.html" TargetMode="External"/><Relationship Id="rId77" Type="http://schemas.openxmlformats.org/officeDocument/2006/relationships/hyperlink" Target="https://lcsc.com/product-detail/Potentiometers-Variable-Resistors_HDK-Hokuriku-Elec-Industry-VGF39NCHXT-B502_C22461636.html" TargetMode="External"/><Relationship Id="rId100" Type="http://schemas.openxmlformats.org/officeDocument/2006/relationships/hyperlink" Target="https://lcsc.com/product-detail/Dupont-wire-terminal-block-wire-electronic-wire_SHOU-HAN-2-54-2P-DT-200mm-24AWG_C5363463.html" TargetMode="External"/><Relationship Id="rId105" Type="http://schemas.openxmlformats.org/officeDocument/2006/relationships/printerSettings" Target="../printerSettings/printerSettings1.bin"/><Relationship Id="rId8" Type="http://schemas.openxmlformats.org/officeDocument/2006/relationships/hyperlink" Target="https://ar.mouser.com/ProductDetail/Kingbright/APT1608SYC?qs=sGAEpiMZZMv0DJfhVcWlK8AiAHwfAGPKwrpprqvgb5g%3D" TargetMode="External"/><Relationship Id="rId51" Type="http://schemas.openxmlformats.org/officeDocument/2006/relationships/hyperlink" Target="https://lcsc.com/product-detail/Schottky-Diodes_JSMSEMI-1N5819WS-S4_C2927280.html" TargetMode="External"/><Relationship Id="rId72" Type="http://schemas.openxmlformats.org/officeDocument/2006/relationships/hyperlink" Target="https://lcsc.com/product-detail/Wire-To-Board-Connector_BOOMELE-Boom-Precision-Elec-CH5-08-2A_C27692.html?s_z=n_CH5.08-2A" TargetMode="External"/><Relationship Id="rId93" Type="http://schemas.openxmlformats.org/officeDocument/2006/relationships/hyperlink" Target="https://lcsc.com/product-detail/Aluminum-Electrolytic-Capacitors-Leaded_CX-Dongguan-Chengxing-Elec-KM478M025K25RR0VH2FP0_C45070.html" TargetMode="External"/><Relationship Id="rId98" Type="http://schemas.openxmlformats.org/officeDocument/2006/relationships/hyperlink" Target="https://lcsc.com/product-detail/Ring-Terminal_JIDC-RNB5-5-4S_C42428758.html" TargetMode="External"/><Relationship Id="rId3" Type="http://schemas.openxmlformats.org/officeDocument/2006/relationships/hyperlink" Target="https://lcsc.com/product-detail/Bipolar-BJT_FOSAN-SS8050S_C22395784.html" TargetMode="External"/><Relationship Id="rId25" Type="http://schemas.openxmlformats.org/officeDocument/2006/relationships/hyperlink" Target="https://lcsc.com/product-detail/Zener-Diodes_LGE-BZV55C3V3_C545323.html" TargetMode="External"/><Relationship Id="rId46" Type="http://schemas.openxmlformats.org/officeDocument/2006/relationships/hyperlink" Target="https://lcsc.com/product-detail/Housings-Wire-To-Board-Wire-To-Wire_Megastar-ZX-XH2-54-2PJK_C7462722.html" TargetMode="External"/><Relationship Id="rId67" Type="http://schemas.openxmlformats.org/officeDocument/2006/relationships/hyperlink" Target="https://lcsc.com/product-detail/Multilayer-Ceramic-Capacitors-MLCC-SMD-SMT_YAGEO-CC0603FRNPO9BN220_C326840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5"/>
  <sheetViews>
    <sheetView tabSelected="1" zoomScale="70" zoomScaleNormal="70" workbookViewId="0">
      <pane xSplit="1" ySplit="1" topLeftCell="B41" activePane="bottomRight" state="frozen"/>
      <selection pane="topRight" activeCell="B1" sqref="B1"/>
      <selection pane="bottomLeft" activeCell="A2" sqref="A2"/>
      <selection pane="bottomRight" activeCell="D60" sqref="D60"/>
    </sheetView>
  </sheetViews>
  <sheetFormatPr defaultColWidth="9.109375" defaultRowHeight="14.4" x14ac:dyDescent="0.3"/>
  <cols>
    <col min="1" max="1" width="27.33203125" bestFit="1" customWidth="1"/>
    <col min="2" max="2" width="24" bestFit="1" customWidth="1"/>
    <col min="3" max="3" width="37.6640625" bestFit="1" customWidth="1"/>
    <col min="4" max="4" width="36.88671875" bestFit="1" customWidth="1"/>
    <col min="5" max="5" width="16.6640625" bestFit="1" customWidth="1"/>
    <col min="6" max="6" width="24" bestFit="1" customWidth="1"/>
    <col min="7" max="7" width="11.6640625" bestFit="1" customWidth="1"/>
    <col min="8" max="8" width="25.5546875" bestFit="1" customWidth="1"/>
    <col min="9" max="9" width="23.5546875" style="4" bestFit="1" customWidth="1"/>
    <col min="10" max="10" width="44.33203125" bestFit="1" customWidth="1"/>
    <col min="11" max="11" width="55.21875" bestFit="1" customWidth="1"/>
    <col min="12" max="12" width="23.77734375" bestFit="1" customWidth="1"/>
    <col min="13" max="13" width="35.109375" bestFit="1" customWidth="1"/>
    <col min="14" max="14" width="18.33203125" bestFit="1" customWidth="1"/>
    <col min="15" max="15" width="26" bestFit="1" customWidth="1"/>
    <col min="16" max="16" width="13" bestFit="1" customWidth="1"/>
    <col min="18" max="18" width="31.6640625" bestFit="1" customWidth="1"/>
  </cols>
  <sheetData>
    <row r="1" spans="1:17" x14ac:dyDescent="0.3">
      <c r="A1" s="17" t="s">
        <v>26</v>
      </c>
      <c r="B1" s="1" t="s">
        <v>0</v>
      </c>
      <c r="C1" s="1" t="s">
        <v>202</v>
      </c>
      <c r="D1" s="1" t="s">
        <v>5</v>
      </c>
      <c r="E1" s="1" t="s">
        <v>33</v>
      </c>
      <c r="F1" s="1" t="s">
        <v>8</v>
      </c>
      <c r="G1" s="1" t="s">
        <v>36</v>
      </c>
      <c r="H1" s="1" t="s">
        <v>10</v>
      </c>
      <c r="I1" s="3" t="s">
        <v>206</v>
      </c>
      <c r="J1" s="1" t="s">
        <v>194</v>
      </c>
      <c r="K1" s="1" t="s">
        <v>203</v>
      </c>
      <c r="L1" s="1" t="s">
        <v>217</v>
      </c>
      <c r="M1" s="1" t="s">
        <v>7</v>
      </c>
      <c r="N1" s="1" t="s">
        <v>270</v>
      </c>
      <c r="O1" s="1" t="s">
        <v>9</v>
      </c>
      <c r="P1" s="1" t="s">
        <v>271</v>
      </c>
      <c r="Q1" s="1"/>
    </row>
    <row r="2" spans="1:17" x14ac:dyDescent="0.3">
      <c r="A2" s="17" t="s">
        <v>237</v>
      </c>
      <c r="B2" s="1" t="s">
        <v>114</v>
      </c>
      <c r="C2" s="1" t="s">
        <v>236</v>
      </c>
      <c r="D2" s="5" t="s">
        <v>113</v>
      </c>
      <c r="E2" s="5" t="s">
        <v>112</v>
      </c>
      <c r="F2" s="6">
        <v>0.37119999999999997</v>
      </c>
      <c r="G2" s="1">
        <v>5</v>
      </c>
      <c r="H2" s="7">
        <f>+F2*G2</f>
        <v>1.8559999999999999</v>
      </c>
      <c r="I2" s="21"/>
      <c r="J2" s="7"/>
      <c r="K2" s="7"/>
      <c r="L2" s="7"/>
      <c r="M2" s="5"/>
      <c r="N2" s="5"/>
      <c r="O2" s="1"/>
      <c r="P2" s="1"/>
    </row>
    <row r="3" spans="1:17" x14ac:dyDescent="0.3">
      <c r="A3" s="17" t="s">
        <v>237</v>
      </c>
      <c r="B3" s="1" t="s">
        <v>238</v>
      </c>
      <c r="C3" s="1" t="s">
        <v>134</v>
      </c>
      <c r="D3" s="5" t="s">
        <v>133</v>
      </c>
      <c r="E3" s="5" t="s">
        <v>131</v>
      </c>
      <c r="F3" s="6">
        <v>9.9099999999999994E-2</v>
      </c>
      <c r="G3" s="1">
        <v>5</v>
      </c>
      <c r="H3" s="7">
        <f>+F3*G3</f>
        <v>0.49549999999999994</v>
      </c>
      <c r="I3" s="21"/>
      <c r="J3" s="7"/>
      <c r="K3" s="7"/>
      <c r="L3" s="7"/>
      <c r="M3" s="5"/>
      <c r="N3" s="5"/>
      <c r="O3" s="1"/>
      <c r="P3" s="1"/>
    </row>
    <row r="4" spans="1:17" x14ac:dyDescent="0.3">
      <c r="A4" s="22" t="s">
        <v>237</v>
      </c>
      <c r="B4" s="8" t="s">
        <v>238</v>
      </c>
      <c r="C4" s="8" t="s">
        <v>132</v>
      </c>
      <c r="D4" s="9" t="s">
        <v>130</v>
      </c>
      <c r="E4" s="9" t="s">
        <v>131</v>
      </c>
      <c r="F4" s="10">
        <v>0.17069999999999999</v>
      </c>
      <c r="G4" s="8">
        <v>5</v>
      </c>
      <c r="H4" s="11">
        <f>+F4*G4</f>
        <v>0.85349999999999993</v>
      </c>
      <c r="I4" s="21"/>
      <c r="J4" s="7"/>
      <c r="K4" s="7" t="s">
        <v>239</v>
      </c>
      <c r="L4" s="7"/>
      <c r="M4" s="5"/>
      <c r="N4" s="5"/>
      <c r="O4" s="1"/>
      <c r="P4" s="1"/>
    </row>
    <row r="5" spans="1:17" x14ac:dyDescent="0.3">
      <c r="A5" s="17" t="s">
        <v>81</v>
      </c>
      <c r="B5" s="1"/>
      <c r="C5" s="1"/>
      <c r="D5" s="5" t="s">
        <v>82</v>
      </c>
      <c r="E5" s="5" t="s">
        <v>85</v>
      </c>
      <c r="F5" s="6">
        <v>1.9E-2</v>
      </c>
      <c r="G5" s="1">
        <v>20</v>
      </c>
      <c r="H5" s="7">
        <f>+F5*G5</f>
        <v>0.38</v>
      </c>
      <c r="I5" s="21"/>
      <c r="J5" s="7"/>
      <c r="K5" s="7"/>
      <c r="L5" s="7"/>
      <c r="M5" s="5" t="s">
        <v>84</v>
      </c>
      <c r="N5" s="5" t="s">
        <v>83</v>
      </c>
      <c r="O5" s="1">
        <v>0.41</v>
      </c>
      <c r="P5" s="1">
        <v>1</v>
      </c>
    </row>
    <row r="6" spans="1:17" x14ac:dyDescent="0.3">
      <c r="A6" s="17" t="s">
        <v>81</v>
      </c>
      <c r="B6" s="1"/>
      <c r="C6" s="1"/>
      <c r="D6" s="5"/>
      <c r="E6" s="5"/>
      <c r="F6" s="6"/>
      <c r="G6" s="1"/>
      <c r="H6" s="7">
        <f>+F6*G6</f>
        <v>0</v>
      </c>
      <c r="I6" s="21"/>
      <c r="J6" s="7"/>
      <c r="K6" s="7"/>
      <c r="L6" s="7"/>
      <c r="M6" s="5" t="s">
        <v>86</v>
      </c>
      <c r="N6" s="5" t="s">
        <v>68</v>
      </c>
      <c r="O6" s="1">
        <v>5.54</v>
      </c>
      <c r="P6" s="1">
        <v>1</v>
      </c>
    </row>
    <row r="7" spans="1:17" x14ac:dyDescent="0.3">
      <c r="A7" s="17" t="s">
        <v>166</v>
      </c>
      <c r="B7" s="1"/>
      <c r="C7" s="1" t="s">
        <v>167</v>
      </c>
      <c r="D7" s="5" t="s">
        <v>165</v>
      </c>
      <c r="E7" s="5" t="s">
        <v>168</v>
      </c>
      <c r="F7" s="6">
        <v>0.1908</v>
      </c>
      <c r="G7" s="1">
        <v>5</v>
      </c>
      <c r="H7" s="7">
        <f>+F7*G7</f>
        <v>0.95399999999999996</v>
      </c>
      <c r="I7" s="21"/>
      <c r="J7" s="7"/>
      <c r="K7" s="7"/>
      <c r="L7" s="7"/>
      <c r="M7" s="5"/>
      <c r="N7" s="5"/>
      <c r="O7" s="1"/>
      <c r="P7" s="1"/>
    </row>
    <row r="8" spans="1:17" x14ac:dyDescent="0.3">
      <c r="A8" s="17" t="s">
        <v>263</v>
      </c>
      <c r="B8" s="1"/>
      <c r="C8" s="1"/>
      <c r="D8" s="5" t="s">
        <v>264</v>
      </c>
      <c r="E8" s="5" t="s">
        <v>265</v>
      </c>
      <c r="F8" s="6">
        <v>6.8000000000000005E-2</v>
      </c>
      <c r="G8" s="1">
        <v>10</v>
      </c>
      <c r="H8" s="7">
        <f>+F8*G8</f>
        <v>0.68</v>
      </c>
      <c r="I8" s="21"/>
      <c r="J8" s="7"/>
      <c r="K8" s="7"/>
      <c r="L8" s="7"/>
      <c r="M8" s="5"/>
      <c r="N8" s="5"/>
      <c r="O8" s="1"/>
      <c r="P8" s="1"/>
    </row>
    <row r="9" spans="1:17" x14ac:dyDescent="0.3">
      <c r="A9" s="17" t="s">
        <v>263</v>
      </c>
      <c r="B9" s="1"/>
      <c r="C9" s="1"/>
      <c r="D9" s="5" t="s">
        <v>264</v>
      </c>
      <c r="E9" s="5"/>
      <c r="F9" s="6"/>
      <c r="G9" s="1"/>
      <c r="H9" s="7">
        <f>+F9*G9</f>
        <v>0</v>
      </c>
      <c r="I9" s="21"/>
      <c r="J9" s="7"/>
      <c r="K9" s="7"/>
      <c r="L9" s="7"/>
      <c r="M9" s="5"/>
      <c r="N9" s="5"/>
      <c r="O9" s="1"/>
      <c r="P9" s="1"/>
    </row>
    <row r="10" spans="1:17" x14ac:dyDescent="0.3">
      <c r="A10" s="17" t="s">
        <v>263</v>
      </c>
      <c r="B10" s="1"/>
      <c r="C10" s="1"/>
      <c r="D10" s="5" t="s">
        <v>266</v>
      </c>
      <c r="E10" s="5"/>
      <c r="F10" s="6"/>
      <c r="G10" s="1"/>
      <c r="H10" s="7">
        <f>+F10*G10</f>
        <v>0</v>
      </c>
      <c r="I10" s="21"/>
      <c r="J10" s="7"/>
      <c r="K10" s="7"/>
      <c r="L10" s="7"/>
      <c r="M10" s="5"/>
      <c r="N10" s="5"/>
      <c r="O10" s="1"/>
      <c r="P10" s="1"/>
    </row>
    <row r="11" spans="1:17" x14ac:dyDescent="0.3">
      <c r="A11" s="17" t="s">
        <v>263</v>
      </c>
      <c r="B11" s="1"/>
      <c r="C11" s="1"/>
      <c r="D11" s="5" t="s">
        <v>267</v>
      </c>
      <c r="E11" s="5"/>
      <c r="F11" s="6"/>
      <c r="G11" s="1"/>
      <c r="H11" s="7">
        <f>+F11*G11</f>
        <v>0</v>
      </c>
      <c r="I11" s="21"/>
      <c r="J11" s="7"/>
      <c r="K11" s="7"/>
      <c r="L11" s="7"/>
      <c r="M11" s="5"/>
      <c r="N11" s="5"/>
      <c r="O11" s="1"/>
      <c r="P11" s="1"/>
    </row>
    <row r="12" spans="1:17" x14ac:dyDescent="0.3">
      <c r="A12" s="17" t="s">
        <v>263</v>
      </c>
      <c r="B12" s="1"/>
      <c r="C12" s="1"/>
      <c r="D12" s="5" t="s">
        <v>268</v>
      </c>
      <c r="E12" s="5"/>
      <c r="F12" s="6"/>
      <c r="G12" s="1"/>
      <c r="H12" s="7">
        <f>+F12*G12</f>
        <v>0</v>
      </c>
      <c r="I12" s="21"/>
      <c r="J12" s="7"/>
      <c r="K12" s="7"/>
      <c r="L12" s="7"/>
      <c r="M12" s="5"/>
      <c r="N12" s="5"/>
      <c r="O12" s="1"/>
      <c r="P12" s="1"/>
    </row>
    <row r="13" spans="1:17" x14ac:dyDescent="0.3">
      <c r="A13" s="17" t="s">
        <v>119</v>
      </c>
      <c r="B13" s="1"/>
      <c r="C13" s="1" t="s">
        <v>120</v>
      </c>
      <c r="D13" s="5" t="s">
        <v>117</v>
      </c>
      <c r="E13" s="5" t="s">
        <v>118</v>
      </c>
      <c r="F13" s="6">
        <v>2.3999999999999998E-3</v>
      </c>
      <c r="G13" s="1">
        <v>100</v>
      </c>
      <c r="H13" s="7">
        <f>+F13*G13</f>
        <v>0.24</v>
      </c>
      <c r="I13" s="21"/>
      <c r="J13" s="7"/>
      <c r="K13" s="7"/>
      <c r="L13" s="7"/>
      <c r="M13" s="5"/>
      <c r="N13" s="5"/>
      <c r="O13" s="1"/>
      <c r="P13" s="1"/>
    </row>
    <row r="14" spans="1:17" x14ac:dyDescent="0.3">
      <c r="A14" s="17" t="s">
        <v>119</v>
      </c>
      <c r="B14" s="1"/>
      <c r="C14" s="1" t="s">
        <v>129</v>
      </c>
      <c r="D14" s="5" t="s">
        <v>128</v>
      </c>
      <c r="E14" s="5" t="s">
        <v>118</v>
      </c>
      <c r="F14" s="6">
        <v>2.2000000000000001E-3</v>
      </c>
      <c r="G14" s="1">
        <v>100</v>
      </c>
      <c r="H14" s="7">
        <f>+F14*G14</f>
        <v>0.22</v>
      </c>
      <c r="I14" s="21"/>
      <c r="J14" s="7"/>
      <c r="K14" s="7"/>
      <c r="L14" s="7"/>
      <c r="M14" s="5"/>
      <c r="N14" s="5"/>
      <c r="O14" s="1"/>
      <c r="P14" s="1"/>
    </row>
    <row r="15" spans="1:17" x14ac:dyDescent="0.3">
      <c r="A15" s="17" t="s">
        <v>119</v>
      </c>
      <c r="B15" s="1"/>
      <c r="C15" s="1" t="s">
        <v>155</v>
      </c>
      <c r="D15" s="5" t="s">
        <v>156</v>
      </c>
      <c r="E15" s="5" t="s">
        <v>118</v>
      </c>
      <c r="F15" s="6">
        <v>8.6E-3</v>
      </c>
      <c r="G15" s="1">
        <v>50</v>
      </c>
      <c r="H15" s="7">
        <f>+F15*G15</f>
        <v>0.43</v>
      </c>
      <c r="I15" s="21"/>
      <c r="J15" s="7"/>
      <c r="K15" s="7"/>
      <c r="L15" s="7"/>
      <c r="M15" s="5"/>
      <c r="N15" s="5"/>
      <c r="O15" s="1"/>
      <c r="P15" s="1"/>
    </row>
    <row r="16" spans="1:17" x14ac:dyDescent="0.3">
      <c r="A16" s="17" t="s">
        <v>119</v>
      </c>
      <c r="B16" s="1"/>
      <c r="C16" s="1" t="s">
        <v>163</v>
      </c>
      <c r="D16" s="5" t="s">
        <v>164</v>
      </c>
      <c r="E16" s="5" t="s">
        <v>118</v>
      </c>
      <c r="F16" s="6">
        <v>8.6999999999999994E-3</v>
      </c>
      <c r="G16" s="1">
        <v>50</v>
      </c>
      <c r="H16" s="7">
        <f>+F16*G16</f>
        <v>0.43499999999999994</v>
      </c>
      <c r="I16" s="21"/>
      <c r="J16" s="7"/>
      <c r="K16" s="7"/>
      <c r="L16" s="7"/>
      <c r="M16" s="5"/>
      <c r="N16" s="5"/>
      <c r="O16" s="1"/>
      <c r="P16" s="1"/>
    </row>
    <row r="17" spans="1:18" x14ac:dyDescent="0.3">
      <c r="A17" s="17" t="s">
        <v>119</v>
      </c>
      <c r="B17" s="1"/>
      <c r="C17" s="1" t="s">
        <v>158</v>
      </c>
      <c r="D17" s="5" t="s">
        <v>157</v>
      </c>
      <c r="E17" s="5" t="s">
        <v>118</v>
      </c>
      <c r="F17" s="6">
        <v>8.6E-3</v>
      </c>
      <c r="G17" s="1">
        <v>50</v>
      </c>
      <c r="H17" s="7">
        <f>+F17*G17</f>
        <v>0.43</v>
      </c>
      <c r="I17" s="21"/>
      <c r="J17" s="7"/>
      <c r="K17" s="7"/>
      <c r="L17" s="7"/>
      <c r="M17" s="5"/>
      <c r="N17" s="5"/>
      <c r="O17" s="1"/>
      <c r="P17" s="1"/>
      <c r="R17" s="12" t="s">
        <v>272</v>
      </c>
    </row>
    <row r="18" spans="1:18" x14ac:dyDescent="0.3">
      <c r="A18" s="17" t="s">
        <v>119</v>
      </c>
      <c r="B18" s="1" t="s">
        <v>149</v>
      </c>
      <c r="C18" s="1" t="s">
        <v>150</v>
      </c>
      <c r="D18" s="5" t="s">
        <v>151</v>
      </c>
      <c r="E18" s="5" t="s">
        <v>152</v>
      </c>
      <c r="F18" s="6">
        <v>2.12E-2</v>
      </c>
      <c r="G18" s="1">
        <v>20</v>
      </c>
      <c r="H18" s="7">
        <f>+F18*G18</f>
        <v>0.42399999999999999</v>
      </c>
      <c r="I18" s="21"/>
      <c r="J18" s="7"/>
      <c r="K18" s="7"/>
      <c r="L18" s="7"/>
      <c r="M18" s="5"/>
      <c r="N18" s="5"/>
      <c r="O18" s="1"/>
      <c r="P18" s="1"/>
    </row>
    <row r="19" spans="1:18" x14ac:dyDescent="0.3">
      <c r="A19" s="17" t="s">
        <v>119</v>
      </c>
      <c r="B19" s="1" t="s">
        <v>149</v>
      </c>
      <c r="C19" s="1" t="s">
        <v>189</v>
      </c>
      <c r="D19" s="5" t="s">
        <v>190</v>
      </c>
      <c r="E19" s="5" t="s">
        <v>152</v>
      </c>
      <c r="F19" s="6">
        <v>2.0400000000000001E-2</v>
      </c>
      <c r="G19" s="1">
        <v>20</v>
      </c>
      <c r="H19" s="7">
        <f>+F19*G19</f>
        <v>0.40800000000000003</v>
      </c>
      <c r="I19" s="21"/>
      <c r="J19" s="7"/>
      <c r="K19" s="7"/>
      <c r="L19" s="7"/>
      <c r="M19" s="5"/>
      <c r="N19" s="5"/>
      <c r="O19" s="1"/>
      <c r="P19" s="1"/>
    </row>
    <row r="20" spans="1:18" x14ac:dyDescent="0.3">
      <c r="A20" s="17" t="s">
        <v>119</v>
      </c>
      <c r="B20" s="1" t="s">
        <v>149</v>
      </c>
      <c r="C20" s="1" t="s">
        <v>250</v>
      </c>
      <c r="D20" s="5" t="s">
        <v>247</v>
      </c>
      <c r="E20" s="5" t="s">
        <v>245</v>
      </c>
      <c r="F20" s="6">
        <v>0.34520000000000001</v>
      </c>
      <c r="G20" s="1">
        <v>5</v>
      </c>
      <c r="H20" s="7">
        <f>+F20*G20</f>
        <v>1.726</v>
      </c>
      <c r="I20" s="21">
        <v>2</v>
      </c>
      <c r="J20" s="7"/>
      <c r="K20" s="7"/>
      <c r="L20" s="7"/>
      <c r="M20" s="5"/>
      <c r="N20" s="5"/>
      <c r="O20" s="1"/>
      <c r="P20" s="1"/>
    </row>
    <row r="21" spans="1:18" x14ac:dyDescent="0.3">
      <c r="A21" s="17" t="s">
        <v>119</v>
      </c>
      <c r="B21" s="1"/>
      <c r="C21" s="1" t="s">
        <v>249</v>
      </c>
      <c r="D21" s="5" t="s">
        <v>246</v>
      </c>
      <c r="E21" s="5" t="s">
        <v>248</v>
      </c>
      <c r="F21" s="6">
        <v>1.6016999999999999</v>
      </c>
      <c r="G21" s="1">
        <v>2</v>
      </c>
      <c r="H21" s="7">
        <f>+F21*G21</f>
        <v>3.2033999999999998</v>
      </c>
      <c r="I21" s="21">
        <v>1</v>
      </c>
      <c r="J21" s="7"/>
      <c r="K21" s="7"/>
      <c r="L21" s="7"/>
      <c r="M21" s="5"/>
      <c r="N21" s="5"/>
      <c r="O21" s="1"/>
      <c r="P21" s="1"/>
    </row>
    <row r="22" spans="1:18" x14ac:dyDescent="0.3">
      <c r="A22" s="17" t="s">
        <v>119</v>
      </c>
      <c r="B22" s="1"/>
      <c r="C22" s="8" t="s">
        <v>253</v>
      </c>
      <c r="D22" s="9" t="s">
        <v>251</v>
      </c>
      <c r="E22" s="9" t="s">
        <v>252</v>
      </c>
      <c r="F22" s="10">
        <v>1.9144000000000001</v>
      </c>
      <c r="G22" s="8">
        <v>1</v>
      </c>
      <c r="H22" s="11">
        <f>+F22*G22</f>
        <v>1.9144000000000001</v>
      </c>
      <c r="I22" s="21"/>
      <c r="J22" s="7"/>
      <c r="K22" s="7" t="s">
        <v>205</v>
      </c>
      <c r="L22" s="7"/>
      <c r="M22" s="5"/>
      <c r="N22" s="5"/>
      <c r="O22" s="1"/>
      <c r="P22" s="1"/>
    </row>
    <row r="23" spans="1:18" x14ac:dyDescent="0.3">
      <c r="A23" s="22" t="s">
        <v>29</v>
      </c>
      <c r="B23" s="8" t="s">
        <v>30</v>
      </c>
      <c r="C23" s="8" t="s">
        <v>30</v>
      </c>
      <c r="D23" s="9" t="s">
        <v>31</v>
      </c>
      <c r="E23" s="9"/>
      <c r="F23" s="10">
        <v>0.83960000000000001</v>
      </c>
      <c r="G23" s="8">
        <v>2</v>
      </c>
      <c r="H23" s="11">
        <f>+F23*G23</f>
        <v>1.6792</v>
      </c>
      <c r="I23" s="23"/>
      <c r="J23" s="11"/>
      <c r="K23" s="7"/>
      <c r="L23" s="7"/>
      <c r="M23" s="5"/>
      <c r="N23" s="5"/>
      <c r="O23" s="1"/>
      <c r="P23" s="1"/>
    </row>
    <row r="24" spans="1:18" x14ac:dyDescent="0.3">
      <c r="A24" s="17" t="s">
        <v>29</v>
      </c>
      <c r="B24" s="1" t="s">
        <v>46</v>
      </c>
      <c r="C24" s="1" t="s">
        <v>51</v>
      </c>
      <c r="D24" s="5" t="s">
        <v>47</v>
      </c>
      <c r="E24" s="5" t="s">
        <v>48</v>
      </c>
      <c r="F24" s="6">
        <v>3.3399999999999999E-2</v>
      </c>
      <c r="G24" s="1">
        <v>20</v>
      </c>
      <c r="H24" s="7">
        <f>+F24*G24</f>
        <v>0.66799999999999993</v>
      </c>
      <c r="I24" s="21">
        <v>2</v>
      </c>
      <c r="J24" s="7" t="s">
        <v>216</v>
      </c>
      <c r="K24" s="7"/>
      <c r="L24" s="7"/>
      <c r="M24" s="5"/>
      <c r="N24" s="5"/>
      <c r="O24" s="1"/>
      <c r="P24" s="1"/>
    </row>
    <row r="25" spans="1:18" x14ac:dyDescent="0.3">
      <c r="A25" s="17" t="s">
        <v>29</v>
      </c>
      <c r="B25" s="1"/>
      <c r="C25" s="1" t="s">
        <v>92</v>
      </c>
      <c r="D25" s="5" t="s">
        <v>91</v>
      </c>
      <c r="E25" s="5" t="s">
        <v>48</v>
      </c>
      <c r="F25" s="6">
        <v>2.29E-2</v>
      </c>
      <c r="G25" s="1">
        <v>20</v>
      </c>
      <c r="H25" s="7">
        <f>+F25*G25</f>
        <v>0.45800000000000002</v>
      </c>
      <c r="I25" s="21">
        <v>2</v>
      </c>
      <c r="J25" s="7"/>
      <c r="K25" s="7"/>
      <c r="L25" s="7"/>
      <c r="M25" s="5"/>
      <c r="N25" s="5"/>
      <c r="O25" s="1"/>
      <c r="P25" s="1"/>
    </row>
    <row r="26" spans="1:18" x14ac:dyDescent="0.3">
      <c r="A26" s="17" t="s">
        <v>29</v>
      </c>
      <c r="B26" s="1"/>
      <c r="C26" s="1" t="s">
        <v>177</v>
      </c>
      <c r="D26" s="5" t="s">
        <v>175</v>
      </c>
      <c r="E26" s="5" t="s">
        <v>48</v>
      </c>
      <c r="F26" s="6">
        <v>0.05</v>
      </c>
      <c r="G26" s="1">
        <v>10</v>
      </c>
      <c r="H26" s="7">
        <f>+F26*G26</f>
        <v>0.5</v>
      </c>
      <c r="I26" s="21">
        <v>2</v>
      </c>
      <c r="J26" s="7" t="s">
        <v>207</v>
      </c>
      <c r="K26" s="7"/>
      <c r="L26" s="7"/>
      <c r="M26" s="5"/>
      <c r="N26" s="5"/>
      <c r="O26" s="1"/>
      <c r="P26" s="1"/>
    </row>
    <row r="27" spans="1:18" x14ac:dyDescent="0.3">
      <c r="A27" s="17" t="s">
        <v>29</v>
      </c>
      <c r="B27" s="1"/>
      <c r="C27" s="1" t="s">
        <v>92</v>
      </c>
      <c r="D27" s="5" t="s">
        <v>176</v>
      </c>
      <c r="E27" s="5" t="s">
        <v>48</v>
      </c>
      <c r="F27" s="6">
        <v>3.73E-2</v>
      </c>
      <c r="G27" s="1">
        <v>20</v>
      </c>
      <c r="H27" s="7">
        <f>+F27*G27</f>
        <v>0.746</v>
      </c>
      <c r="I27" s="21">
        <v>2</v>
      </c>
      <c r="J27" s="7"/>
      <c r="K27" s="7"/>
      <c r="L27" s="7"/>
      <c r="M27" s="5"/>
      <c r="N27" s="5"/>
      <c r="O27" s="1"/>
      <c r="P27" s="1"/>
    </row>
    <row r="28" spans="1:18" x14ac:dyDescent="0.3">
      <c r="A28" s="17" t="s">
        <v>29</v>
      </c>
      <c r="B28" s="1"/>
      <c r="C28" s="1" t="s">
        <v>95</v>
      </c>
      <c r="D28" s="5" t="s">
        <v>49</v>
      </c>
      <c r="E28" s="5" t="s">
        <v>50</v>
      </c>
      <c r="F28" s="6">
        <v>9.1999999999999998E-3</v>
      </c>
      <c r="G28" s="1">
        <v>20</v>
      </c>
      <c r="H28" s="7">
        <f>+F28*G28</f>
        <v>0.184</v>
      </c>
      <c r="I28" s="21">
        <v>4</v>
      </c>
      <c r="J28" s="7" t="s">
        <v>208</v>
      </c>
      <c r="K28" s="7"/>
      <c r="L28" s="7"/>
      <c r="M28" s="5"/>
      <c r="N28" s="5"/>
      <c r="O28" s="1"/>
      <c r="P28" s="1"/>
    </row>
    <row r="29" spans="1:18" x14ac:dyDescent="0.3">
      <c r="A29" s="17" t="s">
        <v>29</v>
      </c>
      <c r="B29" s="1"/>
      <c r="C29" s="1" t="s">
        <v>92</v>
      </c>
      <c r="D29" s="5" t="s">
        <v>94</v>
      </c>
      <c r="E29" s="5" t="s">
        <v>50</v>
      </c>
      <c r="F29" s="6">
        <v>6.1999999999999998E-3</v>
      </c>
      <c r="G29" s="1">
        <v>50</v>
      </c>
      <c r="H29" s="7">
        <f>+F29*G29</f>
        <v>0.31</v>
      </c>
      <c r="I29" s="21">
        <v>4</v>
      </c>
      <c r="J29" s="7"/>
      <c r="K29" s="7"/>
      <c r="L29" s="7"/>
      <c r="M29" s="5"/>
      <c r="N29" s="5"/>
      <c r="O29" s="1"/>
      <c r="P29" s="1"/>
    </row>
    <row r="30" spans="1:18" x14ac:dyDescent="0.3">
      <c r="A30" s="17" t="s">
        <v>29</v>
      </c>
      <c r="B30" s="1"/>
      <c r="C30" s="1" t="s">
        <v>209</v>
      </c>
      <c r="D30" s="5" t="s">
        <v>52</v>
      </c>
      <c r="E30" s="5" t="s">
        <v>50</v>
      </c>
      <c r="F30" s="6">
        <v>5.4000000000000003E-3</v>
      </c>
      <c r="G30" s="1">
        <v>50</v>
      </c>
      <c r="H30" s="7">
        <f>+F30*G30</f>
        <v>0.27</v>
      </c>
      <c r="I30" s="21">
        <v>8</v>
      </c>
      <c r="J30" s="7" t="s">
        <v>218</v>
      </c>
      <c r="K30" s="7"/>
      <c r="L30" s="7"/>
      <c r="M30" s="5"/>
      <c r="N30" s="5"/>
      <c r="O30" s="1"/>
      <c r="P30" s="1"/>
    </row>
    <row r="31" spans="1:18" x14ac:dyDescent="0.3">
      <c r="A31" s="17" t="s">
        <v>29</v>
      </c>
      <c r="B31" s="1"/>
      <c r="C31" s="1" t="s">
        <v>92</v>
      </c>
      <c r="D31" s="5" t="s">
        <v>93</v>
      </c>
      <c r="E31" s="5" t="s">
        <v>50</v>
      </c>
      <c r="F31" s="6">
        <v>4.0000000000000001E-3</v>
      </c>
      <c r="G31" s="1">
        <v>100</v>
      </c>
      <c r="H31" s="7">
        <f>+F31*G31</f>
        <v>0.4</v>
      </c>
      <c r="I31" s="21">
        <v>8</v>
      </c>
      <c r="J31" s="7"/>
      <c r="K31" s="7"/>
      <c r="L31" s="7"/>
      <c r="M31" s="5"/>
      <c r="N31" s="5"/>
      <c r="O31" s="1"/>
      <c r="P31" s="1"/>
    </row>
    <row r="32" spans="1:18" x14ac:dyDescent="0.3">
      <c r="A32" s="17" t="s">
        <v>29</v>
      </c>
      <c r="B32" s="1"/>
      <c r="C32" s="1" t="s">
        <v>210</v>
      </c>
      <c r="D32" s="5" t="s">
        <v>97</v>
      </c>
      <c r="E32" s="5" t="s">
        <v>50</v>
      </c>
      <c r="F32" s="6">
        <v>2.7400000000000001E-2</v>
      </c>
      <c r="G32" s="1">
        <v>10</v>
      </c>
      <c r="H32" s="7">
        <f>+F32*G32</f>
        <v>0.27400000000000002</v>
      </c>
      <c r="I32" s="21">
        <v>2</v>
      </c>
      <c r="J32" s="7" t="s">
        <v>219</v>
      </c>
      <c r="K32" s="7"/>
      <c r="L32" s="7"/>
      <c r="M32" s="5"/>
      <c r="N32" s="5"/>
      <c r="O32" s="1"/>
      <c r="P32" s="1"/>
    </row>
    <row r="33" spans="1:18" x14ac:dyDescent="0.3">
      <c r="A33" s="17" t="s">
        <v>29</v>
      </c>
      <c r="B33" s="1"/>
      <c r="C33" s="1" t="s">
        <v>92</v>
      </c>
      <c r="D33" s="5" t="s">
        <v>96</v>
      </c>
      <c r="E33" s="5" t="s">
        <v>50</v>
      </c>
      <c r="F33" s="6">
        <v>8.0999999999999996E-3</v>
      </c>
      <c r="G33" s="1">
        <v>50</v>
      </c>
      <c r="H33" s="7">
        <f>+F33*G33</f>
        <v>0.40499999999999997</v>
      </c>
      <c r="I33" s="21">
        <v>2</v>
      </c>
      <c r="J33" s="7"/>
      <c r="K33" s="7"/>
      <c r="L33" s="7"/>
      <c r="M33" s="5"/>
      <c r="N33" s="5"/>
      <c r="O33" s="1"/>
      <c r="P33" s="1"/>
    </row>
    <row r="34" spans="1:18" x14ac:dyDescent="0.3">
      <c r="A34" s="17" t="s">
        <v>29</v>
      </c>
      <c r="B34" s="1" t="s">
        <v>88</v>
      </c>
      <c r="C34" s="1" t="s">
        <v>89</v>
      </c>
      <c r="D34" s="5" t="s">
        <v>87</v>
      </c>
      <c r="E34" s="5" t="s">
        <v>48</v>
      </c>
      <c r="F34" s="6">
        <v>7.4399999999999994E-2</v>
      </c>
      <c r="G34" s="1">
        <v>10</v>
      </c>
      <c r="H34" s="7">
        <f>+F34*G34</f>
        <v>0.74399999999999999</v>
      </c>
      <c r="I34" s="21">
        <v>3</v>
      </c>
      <c r="J34" s="7" t="s">
        <v>220</v>
      </c>
      <c r="K34" s="7"/>
      <c r="L34" s="7"/>
      <c r="M34" s="5"/>
      <c r="N34" s="5"/>
      <c r="O34" s="1"/>
      <c r="P34" s="1"/>
    </row>
    <row r="35" spans="1:18" x14ac:dyDescent="0.3">
      <c r="A35" s="17" t="s">
        <v>29</v>
      </c>
      <c r="B35" s="1"/>
      <c r="C35" s="1" t="s">
        <v>90</v>
      </c>
      <c r="D35" s="5" t="s">
        <v>87</v>
      </c>
      <c r="E35" s="5" t="s">
        <v>48</v>
      </c>
      <c r="F35" s="6">
        <v>8.9099999999999999E-2</v>
      </c>
      <c r="G35" s="1">
        <v>10</v>
      </c>
      <c r="H35" s="7">
        <f>+F35*G35</f>
        <v>0.89100000000000001</v>
      </c>
      <c r="I35" s="21">
        <v>4</v>
      </c>
      <c r="J35" s="7"/>
      <c r="K35" s="7"/>
      <c r="L35" s="7"/>
      <c r="M35" s="5"/>
      <c r="N35" s="5"/>
      <c r="O35" s="1"/>
      <c r="P35" s="1"/>
    </row>
    <row r="36" spans="1:18" x14ac:dyDescent="0.3">
      <c r="A36" s="17" t="s">
        <v>53</v>
      </c>
      <c r="B36" s="1"/>
      <c r="C36" s="1" t="s">
        <v>136</v>
      </c>
      <c r="D36" s="5" t="s">
        <v>37</v>
      </c>
      <c r="E36" s="5" t="s">
        <v>40</v>
      </c>
      <c r="F36" s="6">
        <v>0.34610000000000002</v>
      </c>
      <c r="G36" s="1">
        <v>2</v>
      </c>
      <c r="H36" s="7">
        <f>+F36*G36</f>
        <v>0.69220000000000004</v>
      </c>
      <c r="I36" s="21"/>
      <c r="J36" s="7" t="s">
        <v>197</v>
      </c>
      <c r="K36" s="7"/>
      <c r="L36" s="7"/>
      <c r="M36" s="5" t="s">
        <v>43</v>
      </c>
      <c r="N36" s="5" t="s">
        <v>42</v>
      </c>
      <c r="O36" s="1">
        <v>1.1100000000000001</v>
      </c>
      <c r="P36" s="1">
        <v>2</v>
      </c>
    </row>
    <row r="37" spans="1:18" x14ac:dyDescent="0.3">
      <c r="A37" s="17" t="s">
        <v>53</v>
      </c>
      <c r="B37" s="1"/>
      <c r="C37" s="1" t="s">
        <v>135</v>
      </c>
      <c r="D37" s="5" t="s">
        <v>38</v>
      </c>
      <c r="E37" s="5" t="s">
        <v>39</v>
      </c>
      <c r="F37" s="6">
        <v>0.37969999999999998</v>
      </c>
      <c r="G37" s="1">
        <v>5</v>
      </c>
      <c r="H37" s="7">
        <f>+F37*G37</f>
        <v>1.8984999999999999</v>
      </c>
      <c r="I37" s="21"/>
      <c r="J37" s="7" t="s">
        <v>197</v>
      </c>
      <c r="K37" s="7"/>
      <c r="L37" s="7"/>
      <c r="M37" s="5" t="s">
        <v>41</v>
      </c>
      <c r="N37" s="5" t="s">
        <v>42</v>
      </c>
      <c r="O37" s="1">
        <v>0.7</v>
      </c>
      <c r="P37" s="1">
        <v>5</v>
      </c>
      <c r="R37" s="12" t="s">
        <v>273</v>
      </c>
    </row>
    <row r="38" spans="1:18" x14ac:dyDescent="0.3">
      <c r="A38" s="22" t="s">
        <v>53</v>
      </c>
      <c r="B38" s="8"/>
      <c r="C38" s="8"/>
      <c r="D38" s="9" t="s">
        <v>103</v>
      </c>
      <c r="E38" s="9" t="s">
        <v>106</v>
      </c>
      <c r="F38" s="10">
        <v>9.1999999999999998E-3</v>
      </c>
      <c r="G38" s="8">
        <v>5</v>
      </c>
      <c r="H38" s="11">
        <f>+F38*G38</f>
        <v>4.5999999999999999E-2</v>
      </c>
      <c r="I38" s="23"/>
      <c r="J38" s="11" t="s">
        <v>199</v>
      </c>
      <c r="K38" s="11" t="s">
        <v>205</v>
      </c>
      <c r="L38" s="11"/>
      <c r="M38" s="5"/>
      <c r="N38" s="5"/>
      <c r="O38" s="1"/>
      <c r="P38" s="1"/>
    </row>
    <row r="39" spans="1:18" x14ac:dyDescent="0.3">
      <c r="A39" s="17" t="s">
        <v>53</v>
      </c>
      <c r="B39" s="1"/>
      <c r="C39" s="1" t="s">
        <v>144</v>
      </c>
      <c r="D39" s="5" t="s">
        <v>108</v>
      </c>
      <c r="E39" s="5" t="s">
        <v>109</v>
      </c>
      <c r="F39" s="6">
        <v>4.1799999999999997E-3</v>
      </c>
      <c r="G39" s="1">
        <v>5</v>
      </c>
      <c r="H39" s="7">
        <f>+F39*G39</f>
        <v>2.0899999999999998E-2</v>
      </c>
      <c r="I39" s="21"/>
      <c r="J39" s="7" t="s">
        <v>195</v>
      </c>
      <c r="K39" s="7" t="s">
        <v>204</v>
      </c>
      <c r="L39" s="7"/>
      <c r="M39" s="5"/>
      <c r="N39" s="5"/>
      <c r="O39" s="1"/>
      <c r="P39" s="1"/>
    </row>
    <row r="40" spans="1:18" x14ac:dyDescent="0.3">
      <c r="A40" s="17" t="s">
        <v>53</v>
      </c>
      <c r="B40" s="1" t="s">
        <v>62</v>
      </c>
      <c r="C40" s="1" t="s">
        <v>141</v>
      </c>
      <c r="D40" s="5" t="s">
        <v>61</v>
      </c>
      <c r="E40" s="5" t="s">
        <v>63</v>
      </c>
      <c r="F40" s="6">
        <v>1.5299999999999999E-2</v>
      </c>
      <c r="G40" s="1">
        <v>10</v>
      </c>
      <c r="H40" s="7">
        <f>+F40*G40</f>
        <v>0.153</v>
      </c>
      <c r="I40" s="21">
        <v>1</v>
      </c>
      <c r="J40" s="7" t="s">
        <v>197</v>
      </c>
      <c r="K40" s="7"/>
      <c r="L40" s="7"/>
      <c r="M40" s="5" t="s">
        <v>65</v>
      </c>
      <c r="N40" s="5" t="s">
        <v>64</v>
      </c>
      <c r="O40" s="1">
        <v>0.23</v>
      </c>
      <c r="P40" s="1">
        <v>2</v>
      </c>
    </row>
    <row r="41" spans="1:18" x14ac:dyDescent="0.3">
      <c r="A41" s="17" t="s">
        <v>53</v>
      </c>
      <c r="B41" s="1" t="s">
        <v>101</v>
      </c>
      <c r="C41" s="1" t="s">
        <v>102</v>
      </c>
      <c r="D41" s="5" t="s">
        <v>99</v>
      </c>
      <c r="E41" s="5" t="s">
        <v>100</v>
      </c>
      <c r="F41" s="6">
        <v>2.8400000000000002E-2</v>
      </c>
      <c r="G41" s="1">
        <v>20</v>
      </c>
      <c r="H41" s="7">
        <f>+F41*G41</f>
        <v>0.56800000000000006</v>
      </c>
      <c r="I41" s="21"/>
      <c r="J41" s="11" t="s">
        <v>199</v>
      </c>
      <c r="K41" s="7"/>
      <c r="L41" s="7"/>
      <c r="M41" s="5"/>
      <c r="N41" s="5"/>
      <c r="O41" s="1"/>
      <c r="P41" s="1"/>
    </row>
    <row r="42" spans="1:18" x14ac:dyDescent="0.3">
      <c r="A42" s="17" t="s">
        <v>230</v>
      </c>
      <c r="B42" s="1"/>
      <c r="C42" s="1" t="s">
        <v>228</v>
      </c>
      <c r="D42" s="5" t="s">
        <v>69</v>
      </c>
      <c r="E42" s="5" t="s">
        <v>70</v>
      </c>
      <c r="F42" s="6">
        <v>1.4356</v>
      </c>
      <c r="G42" s="1">
        <v>3</v>
      </c>
      <c r="H42" s="7">
        <f>+F42*G42</f>
        <v>4.3068</v>
      </c>
      <c r="I42" s="21">
        <v>2</v>
      </c>
      <c r="J42" s="7" t="s">
        <v>199</v>
      </c>
      <c r="K42" s="7"/>
      <c r="L42" s="7"/>
      <c r="M42" s="5">
        <v>1779405241</v>
      </c>
      <c r="N42" s="5" t="s">
        <v>71</v>
      </c>
      <c r="O42" s="1">
        <v>4.3499999999999996</v>
      </c>
      <c r="P42" s="1">
        <v>3</v>
      </c>
      <c r="R42" s="26" t="s">
        <v>269</v>
      </c>
    </row>
    <row r="43" spans="1:18" x14ac:dyDescent="0.3">
      <c r="A43" s="17" t="s">
        <v>230</v>
      </c>
      <c r="B43" s="1"/>
      <c r="C43" s="1" t="s">
        <v>229</v>
      </c>
      <c r="D43" s="5" t="s">
        <v>72</v>
      </c>
      <c r="E43" s="5" t="s">
        <v>73</v>
      </c>
      <c r="F43" s="6">
        <v>1.2628999999999999</v>
      </c>
      <c r="G43" s="1">
        <v>2</v>
      </c>
      <c r="H43" s="7">
        <f>+F43*G43</f>
        <v>2.5257999999999998</v>
      </c>
      <c r="I43" s="21">
        <v>1</v>
      </c>
      <c r="J43" s="7" t="s">
        <v>195</v>
      </c>
      <c r="K43" s="7"/>
      <c r="L43" s="7"/>
      <c r="M43" s="5" t="s">
        <v>75</v>
      </c>
      <c r="N43" s="5" t="s">
        <v>74</v>
      </c>
      <c r="O43" s="1">
        <v>4.22</v>
      </c>
      <c r="P43" s="1">
        <v>2</v>
      </c>
    </row>
    <row r="44" spans="1:18" x14ac:dyDescent="0.3">
      <c r="A44" s="17" t="s">
        <v>55</v>
      </c>
      <c r="B44" s="1"/>
      <c r="C44" s="1" t="s">
        <v>201</v>
      </c>
      <c r="D44" s="5" t="s">
        <v>200</v>
      </c>
      <c r="E44" s="5"/>
      <c r="F44" s="6">
        <v>0.1021</v>
      </c>
      <c r="G44" s="1">
        <v>5</v>
      </c>
      <c r="H44" s="7">
        <f>+F44*G44</f>
        <v>0.51049999999999995</v>
      </c>
      <c r="I44" s="21"/>
      <c r="J44" s="7" t="s">
        <v>197</v>
      </c>
      <c r="K44" s="7"/>
      <c r="L44" s="7"/>
      <c r="M44" s="5"/>
      <c r="N44" s="5"/>
      <c r="O44" s="1"/>
      <c r="P44" s="1"/>
    </row>
    <row r="45" spans="1:18" x14ac:dyDescent="0.3">
      <c r="A45" s="17" t="s">
        <v>169</v>
      </c>
      <c r="B45" s="1"/>
      <c r="C45" s="1" t="s">
        <v>170</v>
      </c>
      <c r="D45" s="5" t="s">
        <v>171</v>
      </c>
      <c r="E45" s="5" t="s">
        <v>172</v>
      </c>
      <c r="F45" s="6">
        <v>4.8000000000000001E-2</v>
      </c>
      <c r="G45" s="1">
        <v>20</v>
      </c>
      <c r="H45" s="7">
        <f>+F45*G45</f>
        <v>0.96</v>
      </c>
      <c r="I45" s="21"/>
      <c r="J45" s="7"/>
      <c r="K45" s="7"/>
      <c r="L45" s="7"/>
      <c r="M45" s="5"/>
      <c r="N45" s="5"/>
      <c r="O45" s="1"/>
      <c r="P45" s="1"/>
    </row>
    <row r="46" spans="1:18" x14ac:dyDescent="0.3">
      <c r="A46" s="17" t="s">
        <v>222</v>
      </c>
      <c r="B46" s="1" t="s">
        <v>223</v>
      </c>
      <c r="C46" s="1" t="s">
        <v>66</v>
      </c>
      <c r="D46" s="5" t="s">
        <v>66</v>
      </c>
      <c r="E46" s="5" t="s">
        <v>67</v>
      </c>
      <c r="F46" s="6">
        <v>3.4700000000000002E-2</v>
      </c>
      <c r="G46" s="1">
        <v>20</v>
      </c>
      <c r="H46" s="7">
        <f>+F46*G46</f>
        <v>0.69400000000000006</v>
      </c>
      <c r="I46" s="21">
        <v>1</v>
      </c>
      <c r="J46" s="7" t="s">
        <v>197</v>
      </c>
      <c r="K46" s="7"/>
      <c r="L46" s="7"/>
      <c r="M46" s="5"/>
      <c r="N46" s="5"/>
      <c r="O46" s="1"/>
      <c r="P46" s="1"/>
    </row>
    <row r="47" spans="1:18" x14ac:dyDescent="0.3">
      <c r="A47" s="17" t="s">
        <v>222</v>
      </c>
      <c r="B47" s="1" t="s">
        <v>224</v>
      </c>
      <c r="C47" s="1" t="s">
        <v>225</v>
      </c>
      <c r="D47" s="5" t="s">
        <v>226</v>
      </c>
      <c r="E47" s="5" t="s">
        <v>227</v>
      </c>
      <c r="F47" s="6">
        <v>9.2200000000000004E-2</v>
      </c>
      <c r="G47" s="1">
        <v>5</v>
      </c>
      <c r="H47" s="7">
        <f>+F47*G47</f>
        <v>0.46100000000000002</v>
      </c>
      <c r="I47" s="21">
        <v>1</v>
      </c>
      <c r="J47" s="7" t="s">
        <v>197</v>
      </c>
      <c r="K47" s="7"/>
      <c r="L47" s="7"/>
      <c r="M47" s="5"/>
      <c r="N47" s="5"/>
      <c r="O47" s="1"/>
      <c r="P47" s="1"/>
    </row>
    <row r="48" spans="1:18" x14ac:dyDescent="0.3">
      <c r="A48" s="17" t="s">
        <v>222</v>
      </c>
      <c r="B48" s="1" t="s">
        <v>105</v>
      </c>
      <c r="C48" s="1" t="s">
        <v>143</v>
      </c>
      <c r="D48" s="5" t="s">
        <v>107</v>
      </c>
      <c r="E48" s="5" t="s">
        <v>106</v>
      </c>
      <c r="F48" s="6">
        <v>0.44069999999999998</v>
      </c>
      <c r="G48" s="1">
        <v>4</v>
      </c>
      <c r="H48" s="7">
        <f>+F48*G48</f>
        <v>1.7627999999999999</v>
      </c>
      <c r="I48" s="21">
        <v>3</v>
      </c>
      <c r="J48" s="7" t="s">
        <v>195</v>
      </c>
      <c r="K48" s="7"/>
      <c r="L48" s="7"/>
      <c r="M48" s="5"/>
      <c r="N48" s="5"/>
      <c r="O48" s="1"/>
      <c r="P48" s="1"/>
    </row>
    <row r="49" spans="1:16" x14ac:dyDescent="0.3">
      <c r="A49" s="17" t="s">
        <v>80</v>
      </c>
      <c r="B49" s="1"/>
      <c r="C49" s="1" t="s">
        <v>146</v>
      </c>
      <c r="D49" s="5" t="s">
        <v>76</v>
      </c>
      <c r="E49" s="5" t="s">
        <v>77</v>
      </c>
      <c r="F49" s="6">
        <v>0.04</v>
      </c>
      <c r="G49" s="1">
        <v>5</v>
      </c>
      <c r="H49" s="7">
        <f>+F49*G49</f>
        <v>0.2</v>
      </c>
      <c r="I49" s="23">
        <v>2</v>
      </c>
      <c r="J49" s="7" t="s">
        <v>199</v>
      </c>
      <c r="K49" s="7"/>
      <c r="L49" s="7"/>
      <c r="M49" s="5" t="s">
        <v>78</v>
      </c>
      <c r="N49" s="5" t="s">
        <v>79</v>
      </c>
      <c r="O49" s="1">
        <v>0.22</v>
      </c>
      <c r="P49" s="1">
        <v>2</v>
      </c>
    </row>
    <row r="50" spans="1:16" x14ac:dyDescent="0.3">
      <c r="A50" s="17" t="s">
        <v>28</v>
      </c>
      <c r="B50" s="1" t="s">
        <v>14</v>
      </c>
      <c r="C50" s="1" t="s">
        <v>15</v>
      </c>
      <c r="D50" s="5" t="s">
        <v>23</v>
      </c>
      <c r="E50" s="5"/>
      <c r="F50" s="6">
        <v>4.4000000000000003E-3</v>
      </c>
      <c r="G50" s="1">
        <v>100</v>
      </c>
      <c r="H50" s="7">
        <f>+F50*G50</f>
        <v>0.44</v>
      </c>
      <c r="I50" s="21"/>
      <c r="J50" s="7" t="s">
        <v>198</v>
      </c>
      <c r="K50" s="7"/>
      <c r="L50" s="7"/>
      <c r="M50" s="5" t="s">
        <v>18</v>
      </c>
      <c r="N50" s="5"/>
      <c r="O50" s="1">
        <v>0.24</v>
      </c>
      <c r="P50" s="1">
        <v>3</v>
      </c>
    </row>
    <row r="51" spans="1:16" x14ac:dyDescent="0.3">
      <c r="A51" s="17" t="s">
        <v>28</v>
      </c>
      <c r="B51" s="1" t="s">
        <v>17</v>
      </c>
      <c r="C51" s="1" t="s">
        <v>24</v>
      </c>
      <c r="D51" s="5" t="s">
        <v>21</v>
      </c>
      <c r="E51" s="5"/>
      <c r="F51" s="6">
        <v>3.2000000000000002E-3</v>
      </c>
      <c r="G51" s="1">
        <v>100</v>
      </c>
      <c r="H51" s="7">
        <f>+F51*G51</f>
        <v>0.32</v>
      </c>
      <c r="I51" s="21"/>
      <c r="J51" s="7" t="s">
        <v>199</v>
      </c>
      <c r="K51" s="7"/>
      <c r="L51" s="7"/>
      <c r="M51" s="5" t="s">
        <v>16</v>
      </c>
      <c r="N51" s="5"/>
      <c r="O51" s="1">
        <v>0.41</v>
      </c>
      <c r="P51" s="1">
        <v>3</v>
      </c>
    </row>
    <row r="52" spans="1:16" x14ac:dyDescent="0.3">
      <c r="A52" s="17" t="s">
        <v>28</v>
      </c>
      <c r="B52" s="1" t="s">
        <v>19</v>
      </c>
      <c r="C52" s="1" t="s">
        <v>25</v>
      </c>
      <c r="D52" s="5" t="s">
        <v>22</v>
      </c>
      <c r="E52" s="5"/>
      <c r="F52" s="6">
        <v>5.8999999999999999E-3</v>
      </c>
      <c r="G52" s="1">
        <v>100</v>
      </c>
      <c r="H52" s="7">
        <f>+F52*G52</f>
        <v>0.59</v>
      </c>
      <c r="I52" s="21"/>
      <c r="J52" s="7" t="s">
        <v>199</v>
      </c>
      <c r="K52" s="7"/>
      <c r="L52" s="7"/>
      <c r="M52" s="5" t="s">
        <v>20</v>
      </c>
      <c r="N52" s="5"/>
      <c r="O52" s="1">
        <v>0.17</v>
      </c>
      <c r="P52" s="1">
        <v>3</v>
      </c>
    </row>
    <row r="53" spans="1:16" x14ac:dyDescent="0.3">
      <c r="A53" s="17" t="s">
        <v>240</v>
      </c>
      <c r="B53" s="1" t="s">
        <v>241</v>
      </c>
      <c r="C53" s="1" t="s">
        <v>243</v>
      </c>
      <c r="D53" s="5" t="s">
        <v>242</v>
      </c>
      <c r="E53" s="5"/>
      <c r="F53" s="6">
        <v>2.9399999999999999E-2</v>
      </c>
      <c r="G53" s="1">
        <v>20</v>
      </c>
      <c r="H53" s="7">
        <f>+F53*G53</f>
        <v>0.58799999999999997</v>
      </c>
      <c r="I53" s="21"/>
      <c r="J53" s="7" t="s">
        <v>244</v>
      </c>
      <c r="K53" s="7"/>
      <c r="L53" s="7"/>
      <c r="M53" s="5"/>
      <c r="N53" s="5"/>
      <c r="O53" s="1"/>
      <c r="P53" s="1"/>
    </row>
    <row r="54" spans="1:16" x14ac:dyDescent="0.3">
      <c r="A54" s="17" t="s">
        <v>231</v>
      </c>
      <c r="B54" s="1"/>
      <c r="C54" s="1" t="s">
        <v>233</v>
      </c>
      <c r="D54" s="5" t="s">
        <v>86</v>
      </c>
      <c r="E54" s="5" t="s">
        <v>68</v>
      </c>
      <c r="F54" s="6">
        <v>1.0868</v>
      </c>
      <c r="G54" s="1">
        <v>1</v>
      </c>
      <c r="H54" s="7">
        <f>+F54*G54</f>
        <v>1.0868</v>
      </c>
      <c r="I54" s="21"/>
      <c r="J54" s="7" t="s">
        <v>199</v>
      </c>
      <c r="K54" s="7"/>
      <c r="L54" s="7"/>
      <c r="M54" s="5"/>
      <c r="N54" s="5"/>
      <c r="O54" s="1"/>
      <c r="P54" s="1"/>
    </row>
    <row r="55" spans="1:16" x14ac:dyDescent="0.3">
      <c r="A55" s="17" t="s">
        <v>231</v>
      </c>
      <c r="B55" s="1"/>
      <c r="C55" s="1" t="s">
        <v>232</v>
      </c>
      <c r="D55" s="5" t="s">
        <v>153</v>
      </c>
      <c r="E55" s="5" t="s">
        <v>154</v>
      </c>
      <c r="F55" s="6">
        <v>4.8817000000000004</v>
      </c>
      <c r="G55" s="1">
        <v>1</v>
      </c>
      <c r="H55" s="7">
        <f>+F55*G55</f>
        <v>4.8817000000000004</v>
      </c>
      <c r="I55" s="21"/>
      <c r="J55" s="7" t="s">
        <v>199</v>
      </c>
      <c r="K55" s="7"/>
      <c r="L55" s="7"/>
      <c r="M55" s="5"/>
      <c r="N55" s="5"/>
      <c r="O55" s="1"/>
      <c r="P55" s="1"/>
    </row>
    <row r="56" spans="1:16" x14ac:dyDescent="0.3">
      <c r="A56" s="17" t="s">
        <v>57</v>
      </c>
      <c r="B56" s="1"/>
      <c r="C56" s="1" t="s">
        <v>140</v>
      </c>
      <c r="D56" s="5" t="s">
        <v>59</v>
      </c>
      <c r="E56" s="5" t="s">
        <v>56</v>
      </c>
      <c r="F56" s="6">
        <v>3.4799999999999998E-2</v>
      </c>
      <c r="G56" s="1">
        <v>20</v>
      </c>
      <c r="H56" s="7">
        <f>+F56*G56</f>
        <v>0.69599999999999995</v>
      </c>
      <c r="I56" s="21">
        <v>2</v>
      </c>
      <c r="J56" s="7" t="s">
        <v>197</v>
      </c>
      <c r="K56" s="7"/>
      <c r="L56" s="7"/>
      <c r="M56" s="5" t="s">
        <v>58</v>
      </c>
      <c r="N56" s="5" t="s">
        <v>60</v>
      </c>
      <c r="O56" s="1">
        <v>0.67</v>
      </c>
      <c r="P56" s="1">
        <v>5</v>
      </c>
    </row>
    <row r="57" spans="1:16" x14ac:dyDescent="0.3">
      <c r="A57" s="24" t="s">
        <v>57</v>
      </c>
      <c r="B57" s="13"/>
      <c r="C57" s="13" t="s">
        <v>142</v>
      </c>
      <c r="D57" s="14" t="s">
        <v>104</v>
      </c>
      <c r="E57" s="14" t="s">
        <v>42</v>
      </c>
      <c r="F57" s="15">
        <v>0.70709999999999995</v>
      </c>
      <c r="G57" s="13">
        <v>10</v>
      </c>
      <c r="H57" s="16">
        <f>+F57*G57</f>
        <v>7.0709999999999997</v>
      </c>
      <c r="I57" s="23" t="s">
        <v>214</v>
      </c>
      <c r="J57" s="7"/>
      <c r="K57" s="7"/>
      <c r="L57" s="7"/>
      <c r="M57" s="5"/>
      <c r="N57" s="5"/>
      <c r="O57" s="1"/>
      <c r="P57" s="1"/>
    </row>
    <row r="58" spans="1:16" x14ac:dyDescent="0.3">
      <c r="A58" s="17" t="s">
        <v>57</v>
      </c>
      <c r="B58" s="1"/>
      <c r="C58" s="1" t="s">
        <v>212</v>
      </c>
      <c r="D58" s="5" t="s">
        <v>211</v>
      </c>
      <c r="E58" s="5" t="s">
        <v>213</v>
      </c>
      <c r="F58" s="6">
        <v>0.35199999999999998</v>
      </c>
      <c r="G58" s="1">
        <v>10</v>
      </c>
      <c r="H58" s="7">
        <f>+F58*G58</f>
        <v>3.5199999999999996</v>
      </c>
      <c r="I58" s="21">
        <v>6</v>
      </c>
      <c r="J58" s="7" t="s">
        <v>195</v>
      </c>
      <c r="K58" s="7"/>
      <c r="L58" s="7"/>
      <c r="M58" s="5"/>
      <c r="N58" s="5"/>
      <c r="O58" s="1"/>
      <c r="P58" s="1"/>
    </row>
    <row r="59" spans="1:16" x14ac:dyDescent="0.3">
      <c r="A59" s="17" t="s">
        <v>98</v>
      </c>
      <c r="B59" s="1"/>
      <c r="C59" s="1" t="s">
        <v>235</v>
      </c>
      <c r="D59" s="5" t="s">
        <v>161</v>
      </c>
      <c r="E59" s="5" t="s">
        <v>162</v>
      </c>
      <c r="F59" s="6">
        <v>8.7300000000000003E-2</v>
      </c>
      <c r="G59" s="1">
        <v>5</v>
      </c>
      <c r="H59" s="7">
        <f>+F59*G59</f>
        <v>0.4365</v>
      </c>
      <c r="I59" s="21"/>
      <c r="J59" s="7"/>
      <c r="K59" s="7"/>
      <c r="L59" s="7"/>
      <c r="M59" s="5"/>
      <c r="N59" s="5"/>
      <c r="O59" s="1"/>
      <c r="P59" s="1"/>
    </row>
    <row r="60" spans="1:16" x14ac:dyDescent="0.3">
      <c r="A60" s="17" t="s">
        <v>98</v>
      </c>
      <c r="B60" s="1"/>
      <c r="C60" s="1" t="s">
        <v>234</v>
      </c>
      <c r="D60" s="5" t="s">
        <v>159</v>
      </c>
      <c r="E60" s="5" t="s">
        <v>160</v>
      </c>
      <c r="F60" s="6">
        <v>0.19239999999999999</v>
      </c>
      <c r="G60" s="1">
        <v>5</v>
      </c>
      <c r="H60" s="7">
        <f>+F60*G60</f>
        <v>0.96199999999999997</v>
      </c>
      <c r="I60" s="21"/>
      <c r="J60" s="7"/>
      <c r="K60" s="7"/>
      <c r="L60" s="7"/>
      <c r="M60" s="5"/>
      <c r="N60" s="5"/>
      <c r="O60" s="1"/>
      <c r="P60" s="1"/>
    </row>
    <row r="61" spans="1:16" x14ac:dyDescent="0.3">
      <c r="A61" s="17" t="s">
        <v>12</v>
      </c>
      <c r="B61" s="1"/>
      <c r="C61" s="1" t="s">
        <v>215</v>
      </c>
      <c r="D61" s="5" t="s">
        <v>13</v>
      </c>
      <c r="E61" s="5"/>
      <c r="F61" s="6">
        <v>0.24399999999999999</v>
      </c>
      <c r="G61" s="1">
        <v>5</v>
      </c>
      <c r="H61" s="7">
        <f>+F61*G61</f>
        <v>1.22</v>
      </c>
      <c r="I61" s="21"/>
      <c r="J61" s="7" t="s">
        <v>197</v>
      </c>
      <c r="K61" s="7"/>
      <c r="L61" s="7"/>
      <c r="M61" s="5"/>
      <c r="N61" s="5"/>
      <c r="O61" s="1"/>
      <c r="P61" s="1"/>
    </row>
    <row r="62" spans="1:16" x14ac:dyDescent="0.3">
      <c r="A62" s="17" t="s">
        <v>178</v>
      </c>
      <c r="B62" s="1"/>
      <c r="C62" s="1" t="s">
        <v>181</v>
      </c>
      <c r="D62" s="5" t="s">
        <v>179</v>
      </c>
      <c r="E62" s="5" t="s">
        <v>180</v>
      </c>
      <c r="F62" s="6">
        <v>7.9600000000000004E-2</v>
      </c>
      <c r="G62" s="1">
        <v>5</v>
      </c>
      <c r="H62" s="7">
        <f>+F62*G62</f>
        <v>0.39800000000000002</v>
      </c>
      <c r="I62" s="21"/>
      <c r="J62" s="7"/>
      <c r="K62" s="7"/>
      <c r="L62" s="7"/>
      <c r="M62" s="5"/>
      <c r="N62" s="5"/>
      <c r="O62" s="1"/>
      <c r="P62" s="1"/>
    </row>
    <row r="63" spans="1:16" x14ac:dyDescent="0.3">
      <c r="A63" s="17" t="s">
        <v>115</v>
      </c>
      <c r="B63" s="1"/>
      <c r="C63" s="1" t="s">
        <v>116</v>
      </c>
      <c r="D63" s="5" t="s">
        <v>121</v>
      </c>
      <c r="E63" s="5" t="s">
        <v>118</v>
      </c>
      <c r="F63" s="6">
        <v>1.1000000000000001E-3</v>
      </c>
      <c r="G63" s="1">
        <v>100</v>
      </c>
      <c r="H63" s="7">
        <f>+F63*G63</f>
        <v>0.11</v>
      </c>
      <c r="I63" s="21"/>
      <c r="J63" s="7"/>
      <c r="K63" s="7"/>
      <c r="L63" s="7"/>
      <c r="M63" s="5"/>
      <c r="N63" s="5"/>
      <c r="O63" s="1"/>
      <c r="P63" s="1"/>
    </row>
    <row r="64" spans="1:16" x14ac:dyDescent="0.3">
      <c r="A64" s="17" t="s">
        <v>115</v>
      </c>
      <c r="B64" s="1"/>
      <c r="C64" s="1" t="s">
        <v>123</v>
      </c>
      <c r="D64" s="5" t="s">
        <v>122</v>
      </c>
      <c r="E64" s="5" t="s">
        <v>118</v>
      </c>
      <c r="F64" s="6">
        <v>1E-3</v>
      </c>
      <c r="G64" s="1">
        <v>100</v>
      </c>
      <c r="H64" s="7">
        <f>+F64*G64</f>
        <v>0.1</v>
      </c>
      <c r="I64" s="21"/>
      <c r="J64" s="7"/>
      <c r="K64" s="7"/>
      <c r="L64" s="7"/>
      <c r="M64" s="5"/>
      <c r="N64" s="5"/>
      <c r="O64" s="1"/>
      <c r="P64" s="1"/>
    </row>
    <row r="65" spans="1:16" x14ac:dyDescent="0.3">
      <c r="A65" s="17" t="s">
        <v>115</v>
      </c>
      <c r="B65" s="1">
        <v>603</v>
      </c>
      <c r="C65" s="1" t="s">
        <v>124</v>
      </c>
      <c r="D65" s="5" t="s">
        <v>125</v>
      </c>
      <c r="E65" s="5" t="s">
        <v>118</v>
      </c>
      <c r="F65" s="6">
        <v>1.1000000000000001E-3</v>
      </c>
      <c r="G65" s="1">
        <v>100</v>
      </c>
      <c r="H65" s="7">
        <f>+F65*G65</f>
        <v>0.11</v>
      </c>
      <c r="I65" s="21"/>
      <c r="J65" s="7"/>
      <c r="K65" s="7"/>
      <c r="L65" s="7"/>
      <c r="M65" s="5"/>
      <c r="N65" s="5"/>
      <c r="O65" s="1"/>
      <c r="P65" s="1"/>
    </row>
    <row r="66" spans="1:16" x14ac:dyDescent="0.3">
      <c r="A66" s="17" t="s">
        <v>115</v>
      </c>
      <c r="B66" s="1">
        <v>805</v>
      </c>
      <c r="C66" s="1" t="s">
        <v>124</v>
      </c>
      <c r="D66" s="5" t="s">
        <v>147</v>
      </c>
      <c r="E66" s="5" t="s">
        <v>118</v>
      </c>
      <c r="F66" s="6">
        <v>1.9E-3</v>
      </c>
      <c r="G66" s="1">
        <v>100</v>
      </c>
      <c r="H66" s="7">
        <f>+F66*G66</f>
        <v>0.19</v>
      </c>
      <c r="I66" s="21"/>
      <c r="J66" s="7"/>
      <c r="K66" s="7"/>
      <c r="L66" s="7"/>
      <c r="M66" s="5"/>
      <c r="N66" s="5"/>
      <c r="O66" s="1"/>
      <c r="P66" s="1"/>
    </row>
    <row r="67" spans="1:16" x14ac:dyDescent="0.3">
      <c r="A67" s="17" t="s">
        <v>115</v>
      </c>
      <c r="B67" s="1">
        <v>1205</v>
      </c>
      <c r="C67" s="1" t="s">
        <v>124</v>
      </c>
      <c r="D67" s="5" t="s">
        <v>148</v>
      </c>
      <c r="E67" s="5" t="s">
        <v>118</v>
      </c>
      <c r="F67" s="6">
        <v>3.5999999999999999E-3</v>
      </c>
      <c r="G67" s="1">
        <v>100</v>
      </c>
      <c r="H67" s="7">
        <f>+F67*G67</f>
        <v>0.36</v>
      </c>
      <c r="I67" s="21"/>
      <c r="J67" s="7"/>
      <c r="K67" s="7"/>
      <c r="L67" s="7"/>
      <c r="M67" s="5"/>
      <c r="N67" s="5"/>
      <c r="O67" s="1"/>
      <c r="P67" s="1"/>
    </row>
    <row r="68" spans="1:16" x14ac:dyDescent="0.3">
      <c r="A68" s="17" t="s">
        <v>115</v>
      </c>
      <c r="B68" s="1">
        <v>603</v>
      </c>
      <c r="C68" s="1" t="s">
        <v>126</v>
      </c>
      <c r="D68" s="5" t="s">
        <v>127</v>
      </c>
      <c r="E68" s="5" t="s">
        <v>118</v>
      </c>
      <c r="F68" s="6">
        <v>1.1999999999999999E-3</v>
      </c>
      <c r="G68" s="1">
        <v>100</v>
      </c>
      <c r="H68" s="7">
        <f>+F68*G68</f>
        <v>0.12</v>
      </c>
      <c r="I68" s="21"/>
      <c r="J68" s="7"/>
      <c r="K68" s="7"/>
      <c r="L68" s="7"/>
      <c r="M68" s="5"/>
      <c r="N68" s="5"/>
      <c r="O68" s="1"/>
      <c r="P68" s="1"/>
    </row>
    <row r="69" spans="1:16" x14ac:dyDescent="0.3">
      <c r="A69" s="17" t="s">
        <v>115</v>
      </c>
      <c r="B69" s="1">
        <v>603</v>
      </c>
      <c r="C69" s="1" t="s">
        <v>174</v>
      </c>
      <c r="D69" s="5" t="s">
        <v>173</v>
      </c>
      <c r="E69" s="5" t="s">
        <v>118</v>
      </c>
      <c r="F69" s="6">
        <v>2.7000000000000001E-3</v>
      </c>
      <c r="G69" s="1">
        <v>100</v>
      </c>
      <c r="H69" s="7">
        <f>+F69*G69</f>
        <v>0.27</v>
      </c>
      <c r="I69" s="21"/>
      <c r="J69" s="7"/>
      <c r="K69" s="7"/>
      <c r="L69" s="7"/>
      <c r="M69" s="5"/>
      <c r="N69" s="5"/>
      <c r="O69" s="1"/>
      <c r="P69" s="1"/>
    </row>
    <row r="70" spans="1:16" x14ac:dyDescent="0.3">
      <c r="A70" s="17" t="s">
        <v>115</v>
      </c>
      <c r="B70" s="13">
        <v>603</v>
      </c>
      <c r="C70" s="13" t="s">
        <v>183</v>
      </c>
      <c r="D70" s="14" t="s">
        <v>182</v>
      </c>
      <c r="E70" s="14" t="s">
        <v>118</v>
      </c>
      <c r="F70" s="15">
        <v>1.1999999999999999E-3</v>
      </c>
      <c r="G70" s="13">
        <v>100</v>
      </c>
      <c r="H70" s="16">
        <f>+F70*G70</f>
        <v>0.12</v>
      </c>
      <c r="I70" s="25"/>
      <c r="J70" s="16"/>
      <c r="K70" s="7"/>
      <c r="L70" s="7"/>
      <c r="M70" s="5" t="s">
        <v>186</v>
      </c>
      <c r="N70" s="5"/>
      <c r="O70" s="1"/>
      <c r="P70" s="1"/>
    </row>
    <row r="71" spans="1:16" x14ac:dyDescent="0.3">
      <c r="A71" s="17" t="s">
        <v>115</v>
      </c>
      <c r="B71" s="13">
        <v>603</v>
      </c>
      <c r="C71" s="13" t="s">
        <v>184</v>
      </c>
      <c r="D71" s="14" t="s">
        <v>185</v>
      </c>
      <c r="E71" s="14" t="s">
        <v>118</v>
      </c>
      <c r="F71" s="15">
        <v>1.1000000000000001E-3</v>
      </c>
      <c r="G71" s="13">
        <v>100</v>
      </c>
      <c r="H71" s="16">
        <f>+F71*G71</f>
        <v>0.11</v>
      </c>
      <c r="I71" s="25"/>
      <c r="J71" s="16"/>
      <c r="K71" s="7"/>
      <c r="L71" s="7"/>
      <c r="M71" s="5" t="s">
        <v>186</v>
      </c>
      <c r="N71" s="5"/>
      <c r="O71" s="1"/>
      <c r="P71" s="1"/>
    </row>
    <row r="72" spans="1:16" x14ac:dyDescent="0.3">
      <c r="A72" s="17" t="s">
        <v>115</v>
      </c>
      <c r="B72" s="1">
        <v>603</v>
      </c>
      <c r="C72" s="1" t="s">
        <v>126</v>
      </c>
      <c r="D72" s="5" t="s">
        <v>127</v>
      </c>
      <c r="E72" s="5" t="s">
        <v>118</v>
      </c>
      <c r="F72" s="6">
        <v>1.1999999999999999E-3</v>
      </c>
      <c r="G72" s="1">
        <v>100</v>
      </c>
      <c r="H72" s="7">
        <f>+F72*G72</f>
        <v>0.12</v>
      </c>
      <c r="I72" s="21"/>
      <c r="J72" s="7"/>
      <c r="K72" s="7"/>
      <c r="L72" s="7"/>
      <c r="M72" s="5"/>
      <c r="N72" s="5"/>
      <c r="O72" s="1"/>
      <c r="P72" s="1"/>
    </row>
    <row r="73" spans="1:16" x14ac:dyDescent="0.3">
      <c r="A73" s="17" t="s">
        <v>115</v>
      </c>
      <c r="B73" s="1">
        <v>603</v>
      </c>
      <c r="C73" s="1" t="s">
        <v>188</v>
      </c>
      <c r="D73" s="5" t="s">
        <v>187</v>
      </c>
      <c r="E73" s="5" t="s">
        <v>118</v>
      </c>
      <c r="F73" s="6">
        <v>1.1999999999999999E-3</v>
      </c>
      <c r="G73" s="1">
        <v>100</v>
      </c>
      <c r="H73" s="7">
        <f>+F73*G73</f>
        <v>0.12</v>
      </c>
      <c r="I73" s="21"/>
      <c r="J73" s="7"/>
      <c r="K73" s="7"/>
      <c r="L73" s="7"/>
      <c r="M73" s="5"/>
      <c r="N73" s="5"/>
      <c r="O73" s="1"/>
      <c r="P73" s="1"/>
    </row>
    <row r="74" spans="1:16" x14ac:dyDescent="0.3">
      <c r="A74" s="17" t="s">
        <v>254</v>
      </c>
      <c r="B74" s="1" t="s">
        <v>258</v>
      </c>
      <c r="C74" s="1" t="s">
        <v>256</v>
      </c>
      <c r="D74" s="5" t="s">
        <v>255</v>
      </c>
      <c r="E74" s="5" t="s">
        <v>257</v>
      </c>
      <c r="F74" s="6">
        <v>0.1116</v>
      </c>
      <c r="G74" s="1">
        <v>5</v>
      </c>
      <c r="H74" s="7">
        <f>+F74*G74</f>
        <v>0.55800000000000005</v>
      </c>
      <c r="I74" s="21"/>
      <c r="J74" s="7"/>
      <c r="K74" s="7" t="s">
        <v>261</v>
      </c>
      <c r="L74" s="7"/>
      <c r="M74" s="5"/>
      <c r="N74" s="5"/>
      <c r="O74" s="1"/>
      <c r="P74" s="1"/>
    </row>
    <row r="75" spans="1:16" x14ac:dyDescent="0.3">
      <c r="A75" s="17" t="s">
        <v>254</v>
      </c>
      <c r="B75" s="1"/>
      <c r="C75" s="1" t="s">
        <v>260</v>
      </c>
      <c r="D75" s="5" t="s">
        <v>259</v>
      </c>
      <c r="E75" s="5" t="s">
        <v>257</v>
      </c>
      <c r="F75" s="6">
        <v>7.2099999999999997E-2</v>
      </c>
      <c r="G75" s="1">
        <v>10</v>
      </c>
      <c r="H75" s="7">
        <f>+F75*G75</f>
        <v>0.72099999999999997</v>
      </c>
      <c r="I75" s="21"/>
      <c r="J75" s="7"/>
      <c r="K75" s="7" t="s">
        <v>262</v>
      </c>
      <c r="L75" s="7"/>
      <c r="M75" s="5"/>
      <c r="N75" s="5"/>
      <c r="O75" s="1"/>
      <c r="P75" s="1"/>
    </row>
    <row r="76" spans="1:16" x14ac:dyDescent="0.3">
      <c r="A76" s="17" t="s">
        <v>54</v>
      </c>
      <c r="B76" s="1"/>
      <c r="C76" s="1" t="s">
        <v>137</v>
      </c>
      <c r="D76" s="5" t="s">
        <v>44</v>
      </c>
      <c r="E76" s="5" t="s">
        <v>45</v>
      </c>
      <c r="F76" s="6">
        <v>1.1452</v>
      </c>
      <c r="G76" s="1">
        <v>1</v>
      </c>
      <c r="H76" s="7">
        <f>+F76*G76</f>
        <v>1.1452</v>
      </c>
      <c r="I76" s="21">
        <v>1</v>
      </c>
      <c r="J76" s="7" t="s">
        <v>197</v>
      </c>
      <c r="K76" s="7"/>
      <c r="L76" s="7"/>
      <c r="M76" s="5" t="s">
        <v>44</v>
      </c>
      <c r="N76" s="5" t="s">
        <v>45</v>
      </c>
      <c r="O76" s="1">
        <v>2.89</v>
      </c>
      <c r="P76" s="1">
        <v>1</v>
      </c>
    </row>
    <row r="77" spans="1:16" x14ac:dyDescent="0.3">
      <c r="A77" s="17" t="s">
        <v>191</v>
      </c>
      <c r="B77" s="1"/>
      <c r="C77" s="1"/>
      <c r="D77" s="5" t="s">
        <v>192</v>
      </c>
      <c r="E77" s="5" t="s">
        <v>193</v>
      </c>
      <c r="F77" s="6">
        <v>7.3999999999999996E-2</v>
      </c>
      <c r="G77" s="1">
        <v>20</v>
      </c>
      <c r="H77" s="7">
        <f>+F77*G77</f>
        <v>1.48</v>
      </c>
      <c r="I77" s="21"/>
      <c r="J77" s="7"/>
      <c r="K77" s="7"/>
      <c r="L77" s="7"/>
      <c r="M77" s="5"/>
      <c r="N77" s="5"/>
      <c r="O77" s="1"/>
      <c r="P77" s="1"/>
    </row>
    <row r="78" spans="1:16" x14ac:dyDescent="0.3">
      <c r="A78" s="17" t="s">
        <v>27</v>
      </c>
      <c r="B78" s="17" t="s">
        <v>3</v>
      </c>
      <c r="C78" s="17" t="s">
        <v>138</v>
      </c>
      <c r="D78" s="18" t="s">
        <v>1</v>
      </c>
      <c r="E78" s="18"/>
      <c r="F78" s="19">
        <v>9.4000000000000004E-3</v>
      </c>
      <c r="G78" s="17">
        <v>50</v>
      </c>
      <c r="H78" s="20">
        <f>+F78*G78</f>
        <v>0.47000000000000003</v>
      </c>
      <c r="I78" s="21"/>
      <c r="J78" s="20" t="s">
        <v>197</v>
      </c>
      <c r="K78" s="20"/>
      <c r="L78" s="20"/>
      <c r="M78" s="18" t="s">
        <v>6</v>
      </c>
      <c r="N78" s="18"/>
      <c r="O78" s="17">
        <v>8.3000000000000004E-2</v>
      </c>
      <c r="P78" s="17">
        <v>10</v>
      </c>
    </row>
    <row r="79" spans="1:16" x14ac:dyDescent="0.3">
      <c r="A79" s="17" t="s">
        <v>27</v>
      </c>
      <c r="B79" s="17" t="s">
        <v>4</v>
      </c>
      <c r="C79" s="17" t="s">
        <v>139</v>
      </c>
      <c r="D79" s="18" t="s">
        <v>2</v>
      </c>
      <c r="E79" s="18"/>
      <c r="F79" s="17">
        <v>9.4000000000000004E-3</v>
      </c>
      <c r="G79" s="17">
        <v>50</v>
      </c>
      <c r="H79" s="20">
        <f>+F79*G79</f>
        <v>0.47000000000000003</v>
      </c>
      <c r="I79" s="21"/>
      <c r="J79" s="20" t="s">
        <v>196</v>
      </c>
      <c r="K79" s="20"/>
      <c r="L79" s="20"/>
      <c r="M79" s="18" t="s">
        <v>11</v>
      </c>
      <c r="N79" s="18"/>
      <c r="O79" s="17">
        <v>0.13500000000000001</v>
      </c>
      <c r="P79" s="17">
        <v>10</v>
      </c>
    </row>
    <row r="80" spans="1:16" x14ac:dyDescent="0.3">
      <c r="A80" s="17" t="s">
        <v>27</v>
      </c>
      <c r="B80" s="17" t="s">
        <v>32</v>
      </c>
      <c r="C80" s="17" t="s">
        <v>35</v>
      </c>
      <c r="D80" s="18" t="s">
        <v>221</v>
      </c>
      <c r="E80" s="17" t="s">
        <v>77</v>
      </c>
      <c r="F80" s="17">
        <v>0.5867</v>
      </c>
      <c r="G80" s="17">
        <v>10</v>
      </c>
      <c r="H80" s="20">
        <f>+F80*G80</f>
        <v>5.867</v>
      </c>
      <c r="I80" s="21"/>
      <c r="J80" s="20" t="s">
        <v>197</v>
      </c>
      <c r="K80" s="20"/>
      <c r="L80" s="20"/>
      <c r="M80" s="18" t="s">
        <v>34</v>
      </c>
      <c r="N80" s="18"/>
      <c r="O80" s="17">
        <v>2.31</v>
      </c>
      <c r="P80" s="17">
        <v>10</v>
      </c>
    </row>
    <row r="81" spans="1:16" x14ac:dyDescent="0.3">
      <c r="A81" s="17" t="s">
        <v>27</v>
      </c>
      <c r="B81" s="17" t="s">
        <v>145</v>
      </c>
      <c r="C81" s="17" t="s">
        <v>35</v>
      </c>
      <c r="D81" s="18" t="s">
        <v>111</v>
      </c>
      <c r="E81" s="17" t="s">
        <v>110</v>
      </c>
      <c r="F81" s="17">
        <v>0.52859999999999996</v>
      </c>
      <c r="G81" s="17">
        <v>10</v>
      </c>
      <c r="H81" s="20">
        <f>+F81*G81</f>
        <v>5.2859999999999996</v>
      </c>
      <c r="I81" s="21"/>
      <c r="J81" s="20" t="s">
        <v>195</v>
      </c>
      <c r="K81" s="20"/>
      <c r="L81" s="20"/>
      <c r="M81" s="17"/>
      <c r="N81" s="17"/>
      <c r="O81" s="17"/>
      <c r="P81" s="17"/>
    </row>
    <row r="91" spans="1:16" x14ac:dyDescent="0.3">
      <c r="J91" s="2"/>
    </row>
    <row r="94" spans="1:16" x14ac:dyDescent="0.3">
      <c r="L94" s="2"/>
    </row>
    <row r="95" spans="1:16" x14ac:dyDescent="0.3">
      <c r="L95" s="2"/>
    </row>
    <row r="99" spans="12:12" x14ac:dyDescent="0.3">
      <c r="L99" s="2"/>
    </row>
    <row r="101" spans="12:12" x14ac:dyDescent="0.3">
      <c r="L101" s="2"/>
    </row>
    <row r="102" spans="12:12" x14ac:dyDescent="0.3">
      <c r="L102" s="2"/>
    </row>
    <row r="103" spans="12:12" x14ac:dyDescent="0.3">
      <c r="L103" s="2"/>
    </row>
    <row r="105" spans="12:12" x14ac:dyDescent="0.3">
      <c r="L105" s="2"/>
    </row>
  </sheetData>
  <phoneticPr fontId="2" type="noConversion"/>
  <hyperlinks>
    <hyperlink ref="M78" r:id="rId1" display="https://ar.mouser.com/ProductDetail/Micro-Commercial-Components-MCC/MMSS8050-L-TP?qs=FaVZESsvgnebflbaqJWJVQ%3D%3D" xr:uid="{85EE5B5E-3726-413B-80C6-CA0F6DB84176}"/>
    <hyperlink ref="D78" r:id="rId2" xr:uid="{BEAA16C5-1861-4D3B-8179-6B510CD910A4}"/>
    <hyperlink ref="D79" r:id="rId3" xr:uid="{42019B3A-7D73-4887-A2FF-8B182228F4E0}"/>
    <hyperlink ref="M79" r:id="rId4" display="https://ar.mouser.com/ProductDetail/Micro-Commercial-Components-MCC/MMSS8550-H-TP?qs=sGAEpiMZZMvplms98TlKYxWN4uhlXivEZ%252BlGyLjKw34%3D" xr:uid="{E5E8EA51-F297-4263-B1D6-8734C1791E06}"/>
    <hyperlink ref="D61" r:id="rId5" xr:uid="{F92019A5-6265-4A4A-80B0-8B832278460F}"/>
    <hyperlink ref="M51" r:id="rId6" display="https://ar.mouser.com/ProductDetail/Kingbright/APT1608SURC?qs=sGAEpiMZZMv0DJfhVcWlK8AiAHwfAGPKjtEXvGpM2Z8%3D" xr:uid="{8A5C9137-84A0-4800-9285-907F0DEF9BE5}"/>
    <hyperlink ref="M50" r:id="rId7" display="https://ar.mouser.com/ProductDetail/Kingbright/APT1608CGCK?qs=sGAEpiMZZMv0DJfhVcWlK3Snxywvxwcc2rC3XbaQxlPdDBGXU5buBg%3D%3D" xr:uid="{CDB676BD-24C4-4134-BF10-26EEA09D86FC}"/>
    <hyperlink ref="M52" r:id="rId8" display="https://ar.mouser.com/ProductDetail/Kingbright/APT1608SYC?qs=sGAEpiMZZMv0DJfhVcWlK8AiAHwfAGPKwrpprqvgb5g%3D" xr:uid="{B8A361A3-1EDE-4E69-81BC-32949948E27B}"/>
    <hyperlink ref="D52" r:id="rId9" xr:uid="{0866EA81-12FE-44A3-8FE8-C5A02180E358}"/>
    <hyperlink ref="D51" r:id="rId10" xr:uid="{C36A8DE8-2E6D-4889-9A41-A2C7564E1F1F}"/>
    <hyperlink ref="D23" r:id="rId11" xr:uid="{ED2686D5-37A8-461F-9B8D-2208F68BDBB0}"/>
    <hyperlink ref="M80" r:id="rId12" display="https://ar.mouser.com/ProductDetail/Infineon-Technologies/IRFB4110PBF?qs=9%252BKlkBgLFf1%2FkPV%252BuAP9EQ%3D%3D" xr:uid="{67A868A9-20FD-4C83-8A8F-DC6C60177C2E}"/>
    <hyperlink ref="D37" r:id="rId13" xr:uid="{8BC0CC8D-7869-41A7-920C-B5076E1FE674}"/>
    <hyperlink ref="D36" r:id="rId14" xr:uid="{FD9807BE-A59A-4098-B492-E49F1BA3F22B}"/>
    <hyperlink ref="E36" r:id="rId15" tooltip="Yangzhou Yangjie Elec Tech Details page" display="https://lcsc.com/brand-detail/11514.html" xr:uid="{F701D9ED-20E7-487C-BF8A-AF2964B2A374}"/>
    <hyperlink ref="M37" r:id="rId16" display="https://ar.mouser.com/ProductDetail/onsemi/MUR880EG?qs=Gev%252BmEvV0iZuzgGNI9B7nA%3D%3D" xr:uid="{D717AD6F-DC62-495B-A96B-9B17117710F3}"/>
    <hyperlink ref="N37" r:id="rId17" display="https://ar.mouser.com/manufacturer/onsemi/" xr:uid="{8490C8AC-590D-4CFF-A482-5B9386E17F43}"/>
    <hyperlink ref="M36" r:id="rId18" display="https://ar.mouser.com/ProductDetail/onsemi/MURH860CTG?qs=Gev%252BmEvV0iZw86OhP5%2F%2FEw%3D%3D" xr:uid="{2A33BE3F-7B32-4198-AC0B-6D799EEF2689}"/>
    <hyperlink ref="N36" r:id="rId19" display="https://ar.mouser.com/manufacturer/onsemi/" xr:uid="{9616C65E-8523-49FA-AE54-DC11DE5622FC}"/>
    <hyperlink ref="D76" r:id="rId20" xr:uid="{6D62B536-0D38-41EA-A214-FF5A479397E2}"/>
    <hyperlink ref="M76" r:id="rId21" xr:uid="{B81EF1A5-0326-4104-A055-BE3C523CABD9}"/>
    <hyperlink ref="D30" r:id="rId22" xr:uid="{D76F268A-5667-4D8E-9BD8-6EF3FFBA380B}"/>
    <hyperlink ref="M56" r:id="rId23" display="https://ar.mouser.com/ProductDetail/Sharp-Microelectronics/PC817X1NSZ1B?qs=rrS6PyfT74e4O%2FoD5P1nvg%3D%3D" xr:uid="{C52E7CE3-CC39-4E05-867E-E2A94158A6B7}"/>
    <hyperlink ref="D56" r:id="rId24" xr:uid="{22191B91-7B46-4DB1-A44E-D48EB6AD2A3C}"/>
    <hyperlink ref="D40" r:id="rId25" xr:uid="{1FEFEDCB-EA99-409B-A91B-B4ED6756D6B8}"/>
    <hyperlink ref="M40" r:id="rId26" display="https://ar.mouser.com/ProductDetail/Taiwan-Semiconductor/BZV55C3V3-L0G?qs=KwaGCOX4wIbLKgQCCPXAFw%3D%3D" xr:uid="{6C6968BC-7494-4AF6-B8D0-28FBC7157778}"/>
    <hyperlink ref="D46" r:id="rId27" xr:uid="{FCB90690-9A3D-4D5D-99E6-2A3CC59FB709}"/>
    <hyperlink ref="D42" r:id="rId28" xr:uid="{D0807060-F7BC-4110-9EB3-B03BF5877955}"/>
    <hyperlink ref="N42" r:id="rId29" display="https://ar.mouser.com/manufacturer/wurth-elektronik/" xr:uid="{3123E1BC-C835-42AA-80C1-D16544DBEA2B}"/>
    <hyperlink ref="M42" r:id="rId30" display="https://ar.mouser.com/ProductDetail/Wurth-Elektronik/1779405241?qs=amGC7iS6iy9JBIrkcvaziA%3D%3D" xr:uid="{FCAF0CB3-9147-4E30-BFF8-C02A0E71AE0D}"/>
    <hyperlink ref="D43" r:id="rId31" xr:uid="{03FAE53E-6789-4638-89C1-27463809DABC}"/>
    <hyperlink ref="N43" r:id="rId32" display="https://ar.mouser.com/manufacturer/traco-power/" xr:uid="{A24847A9-18C7-4A02-882B-52CDB306B828}"/>
    <hyperlink ref="M43" r:id="rId33" display="https://ar.mouser.com/ProductDetail/TRACO-Power/TBA-2-1212?qs=byeeYqUIh0ON8U3yVOJqLg%3D%3D" xr:uid="{C36878AA-FFD4-46FC-BD57-A0B0EAB623F8}"/>
    <hyperlink ref="D49" r:id="rId34" xr:uid="{A364D372-31CE-44B2-BABA-7899DACB5B7D}"/>
    <hyperlink ref="M49" r:id="rId35" display="https://ar.mouser.com/ProductDetail/Texas-Instruments/TLV1117LV33DCYR?qs=sGAEpiMZZMuLLNXTG1MZaoIPTEwWm4XyE56NiNyAHwM%3D" xr:uid="{2274F9F1-0A2C-41A5-9A2B-C0C080D94242}"/>
    <hyperlink ref="N49" r:id="rId36" display="https://ar.mouser.com/manufacturer/texas-instruments/" xr:uid="{6003F8B5-ABE7-4126-A0D9-5E6CB481C7BA}"/>
    <hyperlink ref="D5" r:id="rId37" xr:uid="{A6E8B528-E4A5-4F86-93BA-344BF089B070}"/>
    <hyperlink ref="N5" r:id="rId38" display="https://ar.mouser.com/manufacturer/panasonicec/" xr:uid="{B5638C12-518D-4D24-9C94-F2B73A76804C}"/>
    <hyperlink ref="M5" r:id="rId39" display="https://ar.mouser.com/ProductDetail/Panasonic/EVQ-PLWA15?qs=WwqriLBepZsSfxlxZfFnlQ%3D%3D" xr:uid="{EA096D2F-A883-464B-969E-EB33A426D983}"/>
    <hyperlink ref="D54" r:id="rId40" xr:uid="{D51E297B-6672-47A8-8004-140FE458DF9A}"/>
    <hyperlink ref="M6" r:id="rId41" display="https://ar.mouser.com/ProductDetail/STMicroelectronics/STM32F103C8T6?qs=bhCVus9SdFtq6kqxsU5%2FDA%3D%3D" xr:uid="{3D4F6940-EB36-448B-9D3F-5E9B8A8FBBDD}"/>
    <hyperlink ref="D34" r:id="rId42" xr:uid="{8D029CB0-FF50-4FAA-996C-D0F49FE4A11C}"/>
    <hyperlink ref="D35" r:id="rId43" tooltip="2.54-2*5P" display="https://lcsc.com/product-detail/IDC-Connectors_BOOMELE-Boom-Precision-Elec-2-54-2-5P_C8373.html" xr:uid="{A76EFAFD-446B-430E-9D2C-EF2CC8CF4B1A}"/>
    <hyperlink ref="D28" r:id="rId44" xr:uid="{FA151D7F-C6A4-42DC-86FF-5A5A4BBA1670}"/>
    <hyperlink ref="D25" r:id="rId45" tooltip="CH5.08-2Y" display="https://lcsc.com/product-detail/Housings-Wire-To-Board-Wire-To-Wire_BOOMELE-Boom-Precision-Elec-CH5-08-2Y_C5128300.html" xr:uid="{D055D423-1D7A-4887-831A-4A0DEF221484}"/>
    <hyperlink ref="D31" r:id="rId46" tooltip="ZX-XH2.54-2PJK" display="https://lcsc.com/product-detail/Housings-Wire-To-Board-Wire-To-Wire_Megastar-ZX-XH2-54-2PJK_C7462722.html" xr:uid="{561AC17F-9C3E-402A-AE61-2D5B224D7F0F}"/>
    <hyperlink ref="D29" r:id="rId47" tooltip="ZX-XH2.54-4PJK" display="https://lcsc.com/product-detail/Housings-Wire-To-Board-Wire-To-Wire_Megastar-ZX-XH2-54-4PJK_C7462724.html" xr:uid="{3C2D5568-501B-4B48-AB77-46C274D07F6C}"/>
    <hyperlink ref="D33" r:id="rId48" tooltip="ZX-XH2.54-5PJK" display="https://lcsc.com/product-detail/Housings-Wire-To-Board-Wire-To-Wire_Megastar-ZX-XH2-54-5PJK_C7462725.html" xr:uid="{C95BE021-E67C-4107-9BBB-8451884C45AE}"/>
    <hyperlink ref="D32" r:id="rId49" tooltip="ZX-HA2.54-5PZZ" display="https://lcsc.com/product-detail/Wire-To-Board-Connector_Megastar-ZX-HA2-54-5PZZ_C7429617.html" xr:uid="{52587EA3-D380-4F21-8E17-A61952D9AF06}"/>
    <hyperlink ref="D41" r:id="rId50" xr:uid="{BB2A0ADC-C3A2-48DA-86A3-97B8958487EB}"/>
    <hyperlink ref="D38" r:id="rId51" xr:uid="{35182EB8-C0E8-434C-A223-E01CA6FE88A4}"/>
    <hyperlink ref="D48" r:id="rId52" xr:uid="{9F298C17-EB3A-42E7-9F02-EB07EABAE7A8}"/>
    <hyperlink ref="D39" r:id="rId53" xr:uid="{2A228AEA-E1C2-47CE-A664-52C9C1F9E96D}"/>
    <hyperlink ref="D57" r:id="rId54" xr:uid="{B61AA7DA-D0B8-43BC-B55C-C17044D34CC6}"/>
    <hyperlink ref="D81" r:id="rId55" xr:uid="{CC318102-41FB-42FF-A72D-15C9B6444A06}"/>
    <hyperlink ref="D2" r:id="rId56" xr:uid="{F69F438F-2CC9-4336-9178-D5B30DCF39A1}"/>
    <hyperlink ref="D13" r:id="rId57" xr:uid="{655896B7-2221-46BA-AC1A-7BDAF720AE3B}"/>
    <hyperlink ref="D63" r:id="rId58" display="https://lcsc.com/product-detail/Chip-Resistor-Surface-Mount_YAGEO-RC0603FR-0710KL_C98220.html" xr:uid="{FEB880E3-5657-4E2F-B5AE-941C0D61FE94}"/>
    <hyperlink ref="D64" r:id="rId59" display="https://lcsc.com/product-detail/Chip-Resistor-Surface-Mount_YAGEO-RC0603FR-071KL_C22548.html" xr:uid="{A4941AFA-3410-4FF0-9028-E7D5E429B063}"/>
    <hyperlink ref="D65" r:id="rId60" display="https://lcsc.com/product-detail/Chip-Resistor-Surface-Mount_YAGEO-RC0603JR-070RL_C95177.html" xr:uid="{A1B2E387-32AA-4C74-ADFA-091F7B6A0692}"/>
    <hyperlink ref="D68" r:id="rId61" tooltip="RC0603FR-071K2L" display="https://lcsc.com/product-detail/Chip-Resistor-Surface-Mount_YAGEO-RC0603FR-071K2L_C114605.html" xr:uid="{794CFAF9-DD63-4C94-A880-F3756F75139F}"/>
    <hyperlink ref="D14" r:id="rId62" tooltip="CC0603KRX7R9BB103" display="https://lcsc.com/product-detail/Multilayer-Ceramic-Capacitors-MLCC-SMD-SMT_YAGEO-CC0603KRX7R9BB103_C100042.html" xr:uid="{26341417-E5CA-46E4-8DFE-C7321182D342}"/>
    <hyperlink ref="D66" r:id="rId63" tooltip="RC0805JR-070RL" display="https://lcsc.com/product-detail/Chip-Resistor-Surface-Mount_YAGEO-RC0805JR-070RL_C96345.html" xr:uid="{5748261A-0EE6-4FCD-A44F-F0C1B07B5D7E}"/>
    <hyperlink ref="D67" r:id="rId64" tooltip="RC1206FR-070RL" display="https://lcsc.com/product-detail/Chip-Resistor-Surface-Mount_YAGEO-RC1206FR-070RL_C137394.html" xr:uid="{A88CBE56-7AC7-48BF-9B90-61976FEF1939}"/>
    <hyperlink ref="D18" r:id="rId65" tooltip="RVT1V100M0405" display="https://www.lcsc.com/product-detail/Aluminum-Electrolytic-Capacitors---SMD_ROQANG-RVT1V100M0405_C72485.html" xr:uid="{7E68CA81-90A3-4675-98F4-ACB31394DE7B}"/>
    <hyperlink ref="D17" r:id="rId66" xr:uid="{DF6AE1DD-1684-4A69-8C50-17CA719FA15D}"/>
    <hyperlink ref="D15" r:id="rId67" xr:uid="{36D14BC5-C8FC-4116-9575-9FB101C276A1}"/>
    <hyperlink ref="D60" r:id="rId68" xr:uid="{86D4F87D-8322-4693-B42D-AD0FF9853428}"/>
    <hyperlink ref="D59" r:id="rId69" tooltip="X49SM8MSD2SC" display="https://lcsc.com/product-detail/Crystals_YXC-Crystal-Oscillators-X49SM8MSD2SC_C12674.html" xr:uid="{8292A5E8-6149-4824-999A-7399A001CAD2}"/>
    <hyperlink ref="D16" r:id="rId70" tooltip="CC0603FRNPO9BN200" display="https://lcsc.com/product-detail/Multilayer-Ceramic-Capacitors-MLCC-SMD-SMT_YAGEO-CC0603FRNPO9BN200_C326779.html" xr:uid="{C68191A0-D042-4A84-9E64-30E077A06BEE}"/>
    <hyperlink ref="D69" r:id="rId71" tooltip="RC0603FR-0710RL" display="https://lcsc.com/product-detail/Chip-Resistor-Surface-Mount_YAGEO-RC0603FR-0710RL_C109318.html" xr:uid="{4F6117B6-07CD-4CB1-BE60-A54DB0A63EA0}"/>
    <hyperlink ref="D24" r:id="rId72" display="https://lcsc.com/product-detail/Wire-To-Board-Connector_BOOMELE-Boom-Precision-Elec-CH5-08-2A_C27692.html?s_z=n_CH5.08-2A" xr:uid="{9C657371-C71C-46A0-BACD-1C76242A4672}"/>
    <hyperlink ref="D26" r:id="rId73" tooltip="CH5.08-3A" display="https://lcsc.com/product-detail/Wire-To-Board-Connector_BOOMELE-Boom-Precision-Elec-CH5-08-3A_C23514.html" xr:uid="{F9A34AAB-4E9F-4674-AF25-D9BB467FAC30}"/>
    <hyperlink ref="D27" r:id="rId74" display="https://lcsc.com/product-detail/Housings-Wire-To-Board-Wire-To-Wire_BOOMELE-Boom-Precision-Elec-CH5-08-3Y_C45331.html?s_z=n_CH5.08-3Y" xr:uid="{A8AD8456-43F8-4BF1-9BEB-5F7813580ADF}"/>
    <hyperlink ref="D70" r:id="rId75" tooltip="RC0603FR-07680RL" display="https://lcsc.com/product-detail/Chip-Resistor-Surface-Mount_YAGEO-RC0603FR-07680RL_C112310.html?s_z=s_YAGEO" xr:uid="{10E376AE-C7B4-4D4E-B9AC-9417D0A13938}"/>
    <hyperlink ref="D71" r:id="rId76" tooltip="RC0603FR-074K7L" display="https://lcsc.com/product-detail/Chip-Resistor-Surface-Mount_YAGEO-RC0603FR-074K7L_C99782.html?s_z=s_YAGEO" xr:uid="{E583D0EA-EFE9-4A63-AC8F-D92FEC43B1FD}"/>
    <hyperlink ref="D62" r:id="rId77" tooltip="VGF39NCHXT-B502" display="https://lcsc.com/product-detail/Potentiometers-Variable-Resistors_HDK-Hokuriku-Elec-Industry-VGF39NCHXT-B502_C22461636.html" xr:uid="{EB58E849-CAB9-429C-BC07-993AF86CDE01}"/>
    <hyperlink ref="D7" r:id="rId78" xr:uid="{F65D54D9-1DB9-419C-A3F1-EF9C0AD29468}"/>
    <hyperlink ref="D55" r:id="rId79" xr:uid="{DE6B6F3E-2864-4DE1-853B-F3B67B6261D4}"/>
    <hyperlink ref="D3" r:id="rId80" xr:uid="{C71EA3F1-1DA3-4175-9158-2F9F9C6E77D3}"/>
    <hyperlink ref="D4" r:id="rId81" xr:uid="{47E1321E-2E1D-4EA7-96D5-7E2C512741A5}"/>
    <hyperlink ref="D72" r:id="rId82" tooltip="RC0603FR-071K2L" display="https://www.lcsc.com/product-detail/Chip-Resistor---Surface-Mount_YAGEO-RC0603FR-071K2L_C114605.html" xr:uid="{61708C3C-9710-4DF3-89FC-16F6F0C19264}"/>
    <hyperlink ref="D73" r:id="rId83" tooltip="RC0603FR-073K9L" display="https://www.lcsc.com/product-detail/Chip-Resistor---Surface-Mount_YAGEO-RC0603FR-073K9L_C114616.html" xr:uid="{1844E507-A98E-4B49-8AAB-D1618548C6D8}"/>
    <hyperlink ref="D19" r:id="rId84" tooltip="RVT1C220M0405" display="https://lcsc.com/product-detail/Aluminum-Electrolytic-Capacitors-SMD_ROQANG-RVT1C220M0405_C72502.html" xr:uid="{784517F1-05CF-42E5-BB38-53B2040D5681}"/>
    <hyperlink ref="D77" r:id="rId85" tooltip="RH-5000" display="https://lcsc.com/product-detail/Test-Points-Test-Rings_ronghe-RH-5000_C5277086.html" xr:uid="{DD6F3684-9A2D-4165-AD2C-0E3D14469DB9}"/>
    <hyperlink ref="D44" r:id="rId86" tooltip="0287040.PXCN" display="https://lcsc.com/product-detail/Automotive-Fuses_Littelfuse-0287040-PXCN_C142687.html" xr:uid="{A401457D-32C7-487A-A7C3-90A5E4F4B559}"/>
    <hyperlink ref="D58" r:id="rId87" tooltip="6N135S" display="https://lcsc.com/product-detail/Logic-Output-Optoisolators_Slkor-SLKORMICRO-Elec-6N135S_C2918949.html?s_z=n_6n135" xr:uid="{8C5CF533-8EA1-4AFE-AC0E-7FD4AB0C0741}"/>
    <hyperlink ref="E58" r:id="rId88" tooltip="Slkor(SLKORMICRO Elec.)" display="https://lcsc.com/brand-detail/11608.html?s_z=n_6n135" xr:uid="{3ABC70F9-A6E1-4AE8-BDF9-4C08CD72ED93}"/>
    <hyperlink ref="D50" r:id="rId89" xr:uid="{61B0A59E-EA46-4F1C-85D5-2F754CB6A513}"/>
    <hyperlink ref="D80" r:id="rId90" tooltip="IRFB4110(UMW)" display="https://lcsc.com/product-detail/MOSFETs_UMW-Youtai-Semiconductor-Co-Ltd-IRFB4110-UMW_C18209200.html?s_z=n_IRFB4110" xr:uid="{C86ACA7E-5FB1-4C2F-A5CE-A41D24D067DD}"/>
    <hyperlink ref="D47" r:id="rId91" xr:uid="{72C3C7FA-04DB-4FF8-966B-026B2560247A}"/>
    <hyperlink ref="D53" r:id="rId92" tooltip="XL-257SYGD-L" display="https://lcsc.com/product-detail/LED-Indication-Discrete_XINGLIGHT-XL-257SYGD-L_C5440572.html?s_z=n_led%2520rectangular" xr:uid="{AC9402F5-3C0E-4E7E-9E02-9F4911A25B2A}"/>
    <hyperlink ref="D20" r:id="rId93" display="https://lcsc.com/product-detail/Aluminum-Electrolytic-Capacitors-Leaded_CX-Dongguan-Chengxing-Elec-KM478M025K25RR0VH2FP0_C45070.html" xr:uid="{8780D294-E643-432F-B3D3-8378EFF87696}"/>
    <hyperlink ref="D21" r:id="rId94" xr:uid="{C04F701C-6EDA-447E-9470-4A147140CF08}"/>
    <hyperlink ref="D22" r:id="rId95" xr:uid="{BF73DF6B-A777-475C-92B0-E42CF1F09982}"/>
    <hyperlink ref="E22" r:id="rId96" tooltip="CapXon Details page" display="https://lcsc.com/brand-detail/810.html" xr:uid="{BBA185D0-A345-42BC-8107-7C00AB8FB50B}"/>
    <hyperlink ref="D74" r:id="rId97" display="https://lcsc.com/product-detail/image/RNB5-5-6-90D_C42428764.html" xr:uid="{9A1D6203-DF5D-4588-8ECC-174D63E2C55B}"/>
    <hyperlink ref="D75" r:id="rId98" tooltip="RNB5.5-4S" display="https://lcsc.com/product-detail/Ring-Terminal_JIDC-RNB5-5-4S_C42428758.html" xr:uid="{C6F2A38E-2A2C-47BC-8964-EC4E0C4F1208}"/>
    <hyperlink ref="D8" r:id="rId99" xr:uid="{1EABCC22-3B20-48D5-850E-60E322668EB7}"/>
    <hyperlink ref="D9" r:id="rId100" tooltip="2.54-2P DT 200mm 24AWG" display="https://lcsc.com/product-detail/Dupont-wire-terminal-block-wire-electronic-wire_SHOU-HAN-2-54-2P-DT-200mm-24AWG_C5363463.html" xr:uid="{3F9878D4-A3A9-4C91-9CBC-0F6FD471EAA1}"/>
    <hyperlink ref="D10" r:id="rId101" tooltip="2.54-6P DT 200mm 24AWG" display="https://lcsc.com/product-detail/Dupont-wire-terminal-block-wire-electronic-wire_SHOU-HAN-2-54-6P-DT-200mm-24AWG_C5363467.html" xr:uid="{6068586B-B7B9-42BA-93F9-5893F2D0C37F}"/>
    <hyperlink ref="D11" r:id="rId102" tooltip="2.54-4P DT 200mm 24AWG" display="https://lcsc.com/product-detail/Dupont-wire-terminal-block-wire-electronic-wire_SHOU-HAN-2-54-4P-DT-200mm-24AWG_C5363465.html" xr:uid="{62D98245-3F11-4B3F-A334-C86F14A6B415}"/>
    <hyperlink ref="D12" r:id="rId103" tooltip="2.54-5P DT 200mm 24AWG" display="https://lcsc.com/product-detail/Dupont-wire-terminal-block-wire-electronic-wire_SHOU-HAN-2-54-5P-DT-200mm-24AWG_C5363466.html" xr:uid="{128719E0-FC23-4206-B060-D34F31A1FE07}"/>
    <hyperlink ref="D45" r:id="rId104" tooltip="m4*8*6" display="https://lcsc.com/product-detail/Through-hole-embedded-round-nuts_ZHONGYI-m4-8-6_C20618342.html" xr:uid="{AD65C362-3615-4BE9-AB73-4EF45E5D9946}"/>
  </hyperlinks>
  <pageMargins left="0.7" right="0.7" top="0.75" bottom="0.75" header="0.3" footer="0.3"/>
  <pageSetup orientation="portrait" r:id="rId105"/>
  <tableParts count="1">
    <tablePart r:id="rId10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8BC1D-B9A5-4B61-9A71-B589248069A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E5B8D-8DC7-4D54-AB07-46031DD13C8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A8617-281B-4F79-A5CA-7AF5A00DB0C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792d246-d363-40e2-82bc-6f0655128b68}" enabled="1" method="Standard" siteId="{372ee9e0-9ce0-4033-a64a-c07073a91ec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Conversor</vt:lpstr>
      <vt:lpstr>Variador</vt:lpstr>
      <vt:lpstr>ESP+STM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Elian ANDRENACCI</dc:creator>
  <cp:lastModifiedBy>User</cp:lastModifiedBy>
  <dcterms:created xsi:type="dcterms:W3CDTF">2015-06-05T18:17:20Z</dcterms:created>
  <dcterms:modified xsi:type="dcterms:W3CDTF">2025-08-10T00:10:50Z</dcterms:modified>
</cp:coreProperties>
</file>